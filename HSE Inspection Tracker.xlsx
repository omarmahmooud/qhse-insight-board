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defaultThemeVersion="166925"/>
  <mc:AlternateContent xmlns:mc="http://schemas.openxmlformats.org/markup-compatibility/2006">
    <mc:Choice Requires="x15">
      <x15ac:absPath xmlns:x15ac="http://schemas.microsoft.com/office/spreadsheetml/2010/11/ac" url="https://cloudenergi.sharepoint.com/sites/qhseinspectionreports/Shared Documents/"/>
    </mc:Choice>
  </mc:AlternateContent>
  <xr:revisionPtr revIDLastSave="969" documentId="13_ncr:1_{EA38BA49-9E6D-48A7-9F47-129902A59378}" xr6:coauthVersionLast="47" xr6:coauthVersionMax="47" xr10:uidLastSave="{552525C2-C70D-4C97-BA18-E90B8F794731}"/>
  <bookViews>
    <workbookView xWindow="-28908" yWindow="-108" windowWidth="29016" windowHeight="15696" xr2:uid="{C9F04AD2-07F6-4F06-B02A-CA40944554F8}"/>
  </bookViews>
  <sheets>
    <sheet name="Sheet1" sheetId="1" r:id="rId1"/>
    <sheet name="Sheet2" sheetId="2" r:id="rId2"/>
  </sheets>
  <definedNames>
    <definedName name="_xlnm.Print_Area" localSheetId="0">Sheet1!$A$346:$J$487</definedName>
    <definedName name="Slicer_Action_By">#N/A</definedName>
    <definedName name="Slicer_Items">#N/A</definedName>
    <definedName name="Slicer_Status">#N/A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24" i="1" l="1"/>
  <c r="A1125" i="1"/>
  <c r="A1126" i="1"/>
  <c r="A1127" i="1"/>
  <c r="A1128" i="1"/>
  <c r="A1129" i="1"/>
  <c r="A1130" i="1"/>
  <c r="A693" i="1"/>
  <c r="A1031" i="1"/>
  <c r="A1108" i="1"/>
  <c r="A1109" i="1"/>
  <c r="A1110" i="1"/>
  <c r="A1111" i="1"/>
  <c r="A1112" i="1"/>
  <c r="A1113" i="1"/>
  <c r="A1114" i="1"/>
  <c r="A1115" i="1"/>
  <c r="A1116" i="1"/>
  <c r="A1117" i="1"/>
  <c r="A1118" i="1"/>
  <c r="A1119" i="1"/>
  <c r="A1120" i="1"/>
  <c r="A1121" i="1"/>
  <c r="A1122" i="1"/>
  <c r="A1123" i="1"/>
  <c r="A1105" i="1"/>
  <c r="A1106" i="1"/>
  <c r="A1107" i="1"/>
  <c r="A1091" i="1"/>
  <c r="A1092" i="1"/>
  <c r="A1093" i="1"/>
  <c r="A1094" i="1"/>
  <c r="A1095" i="1"/>
  <c r="A1096" i="1"/>
  <c r="A1097" i="1"/>
  <c r="A1098" i="1"/>
  <c r="A1099" i="1"/>
  <c r="A1100" i="1"/>
  <c r="A1101" i="1"/>
  <c r="A1102" i="1"/>
  <c r="A1103" i="1"/>
  <c r="A1104" i="1"/>
  <c r="A1083" i="1"/>
  <c r="A1085" i="1"/>
  <c r="A1086" i="1"/>
  <c r="A1087" i="1"/>
  <c r="A1088" i="1"/>
  <c r="A1089" i="1"/>
  <c r="A1090" i="1"/>
  <c r="A1081" i="1"/>
  <c r="A1082" i="1"/>
  <c r="A1084" i="1"/>
  <c r="A1073" i="1"/>
  <c r="A1074" i="1"/>
  <c r="A1075" i="1"/>
  <c r="A1076" i="1"/>
  <c r="A1077" i="1"/>
  <c r="A1078" i="1"/>
  <c r="A1079" i="1"/>
  <c r="A1080" i="1"/>
  <c r="A1067" i="1"/>
  <c r="A1068" i="1"/>
  <c r="A1069" i="1"/>
  <c r="A1070" i="1"/>
  <c r="A1071" i="1"/>
  <c r="A1072" i="1"/>
  <c r="A1065" i="1"/>
  <c r="A1066" i="1"/>
  <c r="A1062" i="1"/>
  <c r="A1063" i="1"/>
  <c r="A1064" i="1"/>
  <c r="A1057" i="1"/>
  <c r="A1056" i="1"/>
  <c r="B1131" i="1"/>
  <c r="C1131" i="1"/>
  <c r="D1131" i="1"/>
  <c r="E1131" i="1"/>
  <c r="F1131" i="1"/>
  <c r="G1131" i="1"/>
  <c r="H1131" i="1"/>
  <c r="I1131" i="1"/>
  <c r="J1131" i="1"/>
  <c r="K1131" i="1"/>
  <c r="K1" i="1" s="1"/>
  <c r="A1061" i="1"/>
  <c r="A1060" i="1"/>
  <c r="A1059" i="1"/>
  <c r="A1058"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0" i="1"/>
  <c r="A1029" i="1"/>
  <c r="A6" i="1"/>
  <c r="A1028" i="1"/>
  <c r="A1027" i="1"/>
  <c r="A1026" i="1"/>
  <c r="A1025" i="1"/>
  <c r="A1024" i="1"/>
  <c r="A1023" i="1"/>
  <c r="A1022" i="1"/>
  <c r="A1021" i="1"/>
  <c r="A1020" i="1"/>
  <c r="A1019" i="1"/>
  <c r="A1018" i="1"/>
  <c r="A997" i="1"/>
  <c r="A996" i="1"/>
  <c r="A995" i="1"/>
  <c r="A994" i="1"/>
  <c r="A993" i="1"/>
  <c r="A992" i="1"/>
  <c r="A1017" i="1"/>
  <c r="A1016" i="1"/>
  <c r="A1015" i="1"/>
  <c r="A1014" i="1"/>
  <c r="A1013" i="1"/>
  <c r="A1012" i="1"/>
  <c r="A1011" i="1"/>
  <c r="A1010" i="1"/>
  <c r="A1009" i="1"/>
  <c r="A1008" i="1"/>
  <c r="A1007" i="1"/>
  <c r="A1006" i="1"/>
  <c r="A1005" i="1"/>
  <c r="A1004" i="1"/>
  <c r="A1003" i="1"/>
  <c r="A1002" i="1"/>
  <c r="A1001" i="1"/>
  <c r="A1000" i="1"/>
  <c r="A999" i="1"/>
  <c r="A998" i="1"/>
  <c r="A991" i="1"/>
  <c r="A990" i="1"/>
  <c r="A989" i="1"/>
  <c r="A988" i="1"/>
  <c r="A987" i="1"/>
  <c r="A986" i="1"/>
  <c r="A985" i="1"/>
  <c r="A984" i="1"/>
  <c r="A983" i="1"/>
  <c r="A981" i="1"/>
  <c r="A980" i="1"/>
  <c r="A979"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893" i="1"/>
  <c r="A892" i="1"/>
  <c r="A906" i="1"/>
  <c r="A905" i="1"/>
  <c r="A904" i="1"/>
  <c r="A903" i="1"/>
  <c r="A902" i="1"/>
  <c r="A901" i="1"/>
  <c r="A900" i="1"/>
  <c r="A899" i="1"/>
  <c r="A898" i="1"/>
  <c r="A897" i="1"/>
  <c r="A896" i="1"/>
  <c r="A895" i="1"/>
  <c r="A894" i="1"/>
  <c r="A891" i="1"/>
  <c r="A890" i="1"/>
  <c r="A889" i="1"/>
  <c r="A888" i="1"/>
  <c r="A887" i="1"/>
  <c r="A886" i="1"/>
  <c r="A885" i="1"/>
  <c r="A884" i="1"/>
  <c r="A883" i="1"/>
  <c r="A882" i="1"/>
  <c r="A881" i="1"/>
  <c r="A880" i="1"/>
  <c r="A879" i="1"/>
  <c r="A878" i="1"/>
  <c r="A877" i="1"/>
  <c r="A876" i="1"/>
  <c r="A875" i="1"/>
  <c r="A874" i="1"/>
  <c r="A873" i="1"/>
  <c r="A872" i="1"/>
  <c r="A871" i="1"/>
  <c r="A869" i="1"/>
  <c r="A870" i="1"/>
  <c r="A868" i="1"/>
  <c r="A833" i="1"/>
  <c r="A832" i="1"/>
  <c r="A831" i="1"/>
  <c r="A830" i="1"/>
  <c r="A829" i="1"/>
  <c r="A828" i="1"/>
  <c r="A827" i="1"/>
  <c r="A826" i="1"/>
  <c r="A825" i="1"/>
  <c r="A824" i="1"/>
  <c r="A823"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41" i="1"/>
  <c r="A742" i="1"/>
  <c r="A743" i="1"/>
  <c r="A744" i="1"/>
  <c r="A745" i="1"/>
  <c r="A746" i="1"/>
  <c r="A747" i="1"/>
  <c r="A748" i="1"/>
  <c r="A749" i="1"/>
  <c r="A750" i="1"/>
  <c r="A751" i="1"/>
  <c r="A752" i="1"/>
  <c r="A753" i="1"/>
  <c r="A754" i="1"/>
  <c r="A755" i="1"/>
  <c r="A756" i="1"/>
  <c r="A757" i="1"/>
  <c r="A758" i="1"/>
  <c r="A759" i="1"/>
  <c r="A740" i="1" l="1"/>
  <c r="A739" i="1"/>
  <c r="A738" i="1"/>
  <c r="A737" i="1"/>
  <c r="A736" i="1"/>
  <c r="A735" i="1"/>
  <c r="A734" i="1"/>
  <c r="A733" i="1"/>
  <c r="A732" i="1"/>
  <c r="A731" i="1"/>
  <c r="A730" i="1"/>
  <c r="A729" i="1"/>
  <c r="A728" i="1"/>
  <c r="A727" i="1"/>
  <c r="A724" i="1"/>
  <c r="A726" i="1"/>
  <c r="A723" i="1"/>
  <c r="A722" i="1"/>
  <c r="A721" i="1"/>
  <c r="A720" i="1"/>
  <c r="A719" i="1"/>
  <c r="A718" i="1"/>
  <c r="A717" i="1"/>
  <c r="A716" i="1"/>
  <c r="A715" i="1"/>
  <c r="A714" i="1"/>
  <c r="A713" i="1"/>
  <c r="A712" i="1"/>
  <c r="A711" i="1"/>
  <c r="A710" i="1"/>
  <c r="A709" i="1"/>
  <c r="A708" i="1"/>
  <c r="A707" i="1"/>
  <c r="A706" i="1"/>
  <c r="M629" i="1"/>
  <c r="A705" i="1"/>
  <c r="A704" i="1"/>
  <c r="A703" i="1"/>
  <c r="A702" i="1"/>
  <c r="A701" i="1"/>
  <c r="A700" i="1"/>
  <c r="A699" i="1"/>
  <c r="A698" i="1"/>
  <c r="A696" i="1"/>
  <c r="A695" i="1"/>
  <c r="A694" i="1"/>
  <c r="A155" i="1"/>
  <c r="A7" i="1"/>
  <c r="A8" i="1"/>
  <c r="A9" i="1"/>
  <c r="A11" i="1"/>
  <c r="A12" i="1"/>
  <c r="A13" i="1"/>
  <c r="A14" i="1"/>
  <c r="A15" i="1"/>
  <c r="A16" i="1"/>
  <c r="A17" i="1"/>
  <c r="A18" i="1"/>
  <c r="A19" i="1"/>
  <c r="A22" i="1"/>
  <c r="A23" i="1"/>
  <c r="A26" i="1"/>
  <c r="A27" i="1"/>
  <c r="A28" i="1"/>
  <c r="A30" i="1"/>
  <c r="A31" i="1"/>
  <c r="A32" i="1"/>
  <c r="A33" i="1"/>
  <c r="A34" i="1"/>
  <c r="A35" i="1"/>
  <c r="A36" i="1"/>
  <c r="A38" i="1"/>
  <c r="A39" i="1"/>
  <c r="A40" i="1"/>
  <c r="A41" i="1"/>
  <c r="A42" i="1"/>
  <c r="A43" i="1"/>
  <c r="A44" i="1"/>
  <c r="A45" i="1"/>
  <c r="A46" i="1"/>
  <c r="A47" i="1"/>
  <c r="A48" i="1"/>
  <c r="A50" i="1"/>
  <c r="A51" i="1"/>
  <c r="A52" i="1"/>
  <c r="A53" i="1"/>
  <c r="A54" i="1"/>
  <c r="A55" i="1"/>
  <c r="A56" i="1"/>
  <c r="A58" i="1"/>
  <c r="A63" i="1"/>
  <c r="A64" i="1"/>
  <c r="A66" i="1"/>
  <c r="A67" i="1"/>
  <c r="A68" i="1"/>
  <c r="A69" i="1"/>
  <c r="A70" i="1"/>
  <c r="A71" i="1"/>
  <c r="A74" i="1"/>
  <c r="A75" i="1"/>
  <c r="A76" i="1"/>
  <c r="A77" i="1"/>
  <c r="A78" i="1"/>
  <c r="A79" i="1"/>
  <c r="A80" i="1"/>
  <c r="A82" i="1"/>
  <c r="A83" i="1"/>
  <c r="A85" i="1"/>
  <c r="A86" i="1"/>
  <c r="A87" i="1"/>
  <c r="A88" i="1"/>
  <c r="A89" i="1"/>
  <c r="A90" i="1"/>
  <c r="A91" i="1"/>
  <c r="A92" i="1"/>
  <c r="A93" i="1"/>
  <c r="A94" i="1"/>
  <c r="A98" i="1"/>
  <c r="A99" i="1"/>
  <c r="A100" i="1"/>
  <c r="A101" i="1"/>
  <c r="A102" i="1"/>
  <c r="A103" i="1"/>
  <c r="A106" i="1"/>
  <c r="A107" i="1"/>
  <c r="A108" i="1"/>
  <c r="A109" i="1"/>
  <c r="A110" i="1"/>
  <c r="A111" i="1"/>
  <c r="A112" i="1"/>
  <c r="A113" i="1"/>
  <c r="A116" i="1"/>
  <c r="A117" i="1"/>
  <c r="A118" i="1"/>
  <c r="A119" i="1"/>
  <c r="A120" i="1"/>
  <c r="A123" i="1"/>
  <c r="A124" i="1"/>
  <c r="A125" i="1"/>
  <c r="A126" i="1"/>
  <c r="A127" i="1"/>
  <c r="A128" i="1"/>
  <c r="A129" i="1"/>
  <c r="A130" i="1"/>
  <c r="A131" i="1"/>
  <c r="A132" i="1"/>
  <c r="A133" i="1"/>
  <c r="A134" i="1"/>
  <c r="A135" i="1"/>
  <c r="A136" i="1"/>
  <c r="A137" i="1"/>
  <c r="A138" i="1"/>
  <c r="A139" i="1"/>
  <c r="A140" i="1"/>
  <c r="A141" i="1"/>
  <c r="A142" i="1"/>
  <c r="A143" i="1"/>
  <c r="A144" i="1"/>
  <c r="A145" i="1"/>
  <c r="A146" i="1"/>
  <c r="A148" i="1"/>
  <c r="A149" i="1"/>
  <c r="A150" i="1"/>
  <c r="A156" i="1"/>
  <c r="A157" i="1"/>
  <c r="A158" i="1"/>
  <c r="A159" i="1"/>
  <c r="A160" i="1"/>
  <c r="A161" i="1"/>
  <c r="A162" i="1"/>
  <c r="A163" i="1"/>
  <c r="A164" i="1"/>
  <c r="A168" i="1"/>
  <c r="A169" i="1"/>
  <c r="A170" i="1"/>
  <c r="A171" i="1"/>
  <c r="A172" i="1"/>
  <c r="A173" i="1"/>
  <c r="A180" i="1"/>
  <c r="A181" i="1"/>
  <c r="A182" i="1"/>
  <c r="A186" i="1"/>
  <c r="A187" i="1"/>
  <c r="A188" i="1"/>
  <c r="A191" i="1"/>
  <c r="A192" i="1"/>
  <c r="A193" i="1"/>
  <c r="A194" i="1"/>
  <c r="A195" i="1"/>
  <c r="A196" i="1"/>
  <c r="A197" i="1"/>
  <c r="A198" i="1"/>
  <c r="A202" i="1"/>
  <c r="A203" i="1"/>
  <c r="A204" i="1"/>
  <c r="A205" i="1"/>
  <c r="A206" i="1"/>
  <c r="A208" i="1"/>
  <c r="A209" i="1"/>
  <c r="A211" i="1"/>
  <c r="A212" i="1"/>
  <c r="A213" i="1"/>
  <c r="A214" i="1"/>
  <c r="A215" i="1"/>
  <c r="A217" i="1"/>
  <c r="A218" i="1"/>
  <c r="A226" i="1"/>
  <c r="A227" i="1"/>
  <c r="A228" i="1"/>
  <c r="A230" i="1"/>
  <c r="A231" i="1"/>
  <c r="A232" i="1"/>
  <c r="A237" i="1"/>
  <c r="A238" i="1"/>
  <c r="A239" i="1"/>
  <c r="A240" i="1"/>
  <c r="A241" i="1"/>
  <c r="A242" i="1"/>
  <c r="A244" i="1"/>
  <c r="A245" i="1"/>
  <c r="A249" i="1"/>
  <c r="A250" i="1"/>
  <c r="A251" i="1"/>
  <c r="A252" i="1"/>
  <c r="A253" i="1"/>
  <c r="A254" i="1"/>
  <c r="A255" i="1"/>
  <c r="A256" i="1"/>
  <c r="A257" i="1"/>
  <c r="A258" i="1"/>
  <c r="A261" i="1"/>
  <c r="A262" i="1"/>
  <c r="A263" i="1"/>
  <c r="A264" i="1"/>
  <c r="A265" i="1"/>
  <c r="A266" i="1"/>
  <c r="A267" i="1"/>
  <c r="A268" i="1"/>
  <c r="A269" i="1"/>
  <c r="A270" i="1"/>
  <c r="A271" i="1"/>
  <c r="A272" i="1"/>
  <c r="A273" i="1"/>
  <c r="A274" i="1"/>
  <c r="A275" i="1"/>
  <c r="A276" i="1"/>
  <c r="A279" i="1"/>
  <c r="A284" i="1"/>
  <c r="A285" i="1"/>
  <c r="A286" i="1"/>
  <c r="A287" i="1"/>
  <c r="A288" i="1"/>
  <c r="A289" i="1"/>
  <c r="A290" i="1"/>
  <c r="A291" i="1"/>
  <c r="A292" i="1"/>
  <c r="A293" i="1"/>
  <c r="A298" i="1"/>
  <c r="A299" i="1"/>
  <c r="A301" i="1"/>
  <c r="A302" i="1"/>
  <c r="A303" i="1"/>
  <c r="A304" i="1"/>
  <c r="A305" i="1"/>
  <c r="A306" i="1"/>
  <c r="A307" i="1"/>
  <c r="A308" i="1"/>
  <c r="A309" i="1"/>
  <c r="A310" i="1"/>
  <c r="A311" i="1"/>
  <c r="A314" i="1"/>
  <c r="A315" i="1"/>
  <c r="A316" i="1"/>
  <c r="A317" i="1"/>
  <c r="A318" i="1"/>
  <c r="A319" i="1"/>
  <c r="A320" i="1"/>
  <c r="A321" i="1"/>
  <c r="A322" i="1"/>
  <c r="A325" i="1"/>
  <c r="A326" i="1"/>
  <c r="A327" i="1"/>
  <c r="A328" i="1"/>
  <c r="A329" i="1"/>
  <c r="A330" i="1"/>
  <c r="A333" i="1"/>
  <c r="A334" i="1"/>
  <c r="A335" i="1"/>
  <c r="A336" i="1"/>
  <c r="A337" i="1"/>
  <c r="A338" i="1"/>
  <c r="A339" i="1"/>
  <c r="A343" i="1"/>
  <c r="A344" i="1"/>
  <c r="A345" i="1"/>
  <c r="A346" i="1"/>
  <c r="A348" i="1"/>
  <c r="A349" i="1"/>
  <c r="A350" i="1"/>
  <c r="A351" i="1"/>
  <c r="A352" i="1"/>
  <c r="A354" i="1"/>
  <c r="A355" i="1"/>
  <c r="A356" i="1"/>
  <c r="A357" i="1"/>
  <c r="A362" i="1"/>
  <c r="A363" i="1"/>
  <c r="A364" i="1"/>
  <c r="A365" i="1"/>
  <c r="A366" i="1"/>
  <c r="A367" i="1"/>
  <c r="A368" i="1"/>
  <c r="A369" i="1"/>
  <c r="A372" i="1"/>
  <c r="A373" i="1"/>
  <c r="A375" i="1"/>
  <c r="A376" i="1"/>
  <c r="A377" i="1"/>
  <c r="A378" i="1"/>
  <c r="A379" i="1"/>
  <c r="A380" i="1"/>
  <c r="A381" i="1"/>
  <c r="A382" i="1"/>
  <c r="A383" i="1"/>
  <c r="A384" i="1"/>
  <c r="A387" i="1"/>
  <c r="A388" i="1"/>
  <c r="A389" i="1"/>
  <c r="A390" i="1"/>
  <c r="A391" i="1"/>
  <c r="A392" i="1"/>
  <c r="A393" i="1"/>
  <c r="A394" i="1"/>
  <c r="A395" i="1"/>
  <c r="A396" i="1"/>
  <c r="A397" i="1"/>
  <c r="A398" i="1"/>
  <c r="A399" i="1"/>
  <c r="A400" i="1"/>
  <c r="A403" i="1"/>
  <c r="A404" i="1"/>
  <c r="A405" i="1"/>
  <c r="A406" i="1"/>
  <c r="A407" i="1"/>
  <c r="A408" i="1"/>
  <c r="A409" i="1"/>
  <c r="A410" i="1"/>
  <c r="A411" i="1"/>
  <c r="A412" i="1"/>
  <c r="A415" i="1"/>
  <c r="A416" i="1"/>
  <c r="A417" i="1"/>
  <c r="A418" i="1"/>
  <c r="A419" i="1"/>
  <c r="A427" i="1"/>
  <c r="A430" i="1"/>
  <c r="A431" i="1"/>
  <c r="A432" i="1"/>
  <c r="A433" i="1"/>
  <c r="A434" i="1"/>
  <c r="A435" i="1"/>
  <c r="A440" i="1"/>
  <c r="A441" i="1"/>
  <c r="A442" i="1"/>
  <c r="A443" i="1"/>
  <c r="A444" i="1"/>
  <c r="A445" i="1"/>
  <c r="A446" i="1"/>
  <c r="A447" i="1"/>
  <c r="A452" i="1"/>
  <c r="A453" i="1"/>
  <c r="A454" i="1"/>
  <c r="A455" i="1"/>
  <c r="A458" i="1"/>
  <c r="A459" i="1"/>
  <c r="A460" i="1"/>
  <c r="A463" i="1"/>
  <c r="A464" i="1"/>
  <c r="A467" i="1"/>
  <c r="A468" i="1"/>
  <c r="A469" i="1"/>
  <c r="A470" i="1"/>
  <c r="A471" i="1"/>
  <c r="A472" i="1"/>
  <c r="A473" i="1"/>
  <c r="A474" i="1"/>
  <c r="A475" i="1"/>
  <c r="A476" i="1"/>
  <c r="A480" i="1"/>
  <c r="A481" i="1"/>
  <c r="A483" i="1"/>
  <c r="A484" i="1"/>
  <c r="A485" i="1"/>
  <c r="A486" i="1"/>
  <c r="A490" i="1"/>
  <c r="A498" i="1"/>
  <c r="A499" i="1"/>
  <c r="A500" i="1"/>
  <c r="A501" i="1"/>
  <c r="A505" i="1"/>
  <c r="A506" i="1"/>
  <c r="A507" i="1"/>
  <c r="A508" i="1"/>
  <c r="A10" i="1"/>
  <c r="A20" i="1"/>
  <c r="A21" i="1"/>
  <c r="A24" i="1"/>
  <c r="A25" i="1"/>
  <c r="A37" i="1"/>
  <c r="A49" i="1"/>
  <c r="A57" i="1"/>
  <c r="A59" i="1"/>
  <c r="A60" i="1"/>
  <c r="A61" i="1"/>
  <c r="A62" i="1"/>
  <c r="A65" i="1"/>
  <c r="A72" i="1"/>
  <c r="A73" i="1"/>
  <c r="A81" i="1"/>
  <c r="A84" i="1"/>
  <c r="A95" i="1"/>
  <c r="A96" i="1"/>
  <c r="A97" i="1"/>
  <c r="A104" i="1"/>
  <c r="A105" i="1"/>
  <c r="A114" i="1"/>
  <c r="A115" i="1"/>
  <c r="A121" i="1"/>
  <c r="A122" i="1"/>
  <c r="A147" i="1"/>
  <c r="A151" i="1"/>
  <c r="A152" i="1"/>
  <c r="A153" i="1"/>
  <c r="A165" i="1"/>
  <c r="A166" i="1"/>
  <c r="A167" i="1"/>
  <c r="A174" i="1"/>
  <c r="A183" i="1"/>
  <c r="A184" i="1"/>
  <c r="A185" i="1"/>
  <c r="A189" i="1"/>
  <c r="A190" i="1"/>
  <c r="A199" i="1"/>
  <c r="A200" i="1"/>
  <c r="A201" i="1"/>
  <c r="A207" i="1"/>
  <c r="A210" i="1"/>
  <c r="A216" i="1"/>
  <c r="A219" i="1"/>
  <c r="A220" i="1"/>
  <c r="A221" i="1"/>
  <c r="A222" i="1"/>
  <c r="A223" i="1"/>
  <c r="A224" i="1"/>
  <c r="A225" i="1"/>
  <c r="A229" i="1"/>
  <c r="A233" i="1"/>
  <c r="A234" i="1"/>
  <c r="A235" i="1"/>
  <c r="A236" i="1"/>
  <c r="A243" i="1"/>
  <c r="A246" i="1"/>
  <c r="A247" i="1"/>
  <c r="A248" i="1"/>
  <c r="A259" i="1"/>
  <c r="A260" i="1"/>
  <c r="A277" i="1"/>
  <c r="A278" i="1"/>
  <c r="A280" i="1"/>
  <c r="A281" i="1"/>
  <c r="A282" i="1"/>
  <c r="A283" i="1"/>
  <c r="A294" i="1"/>
  <c r="A295" i="1"/>
  <c r="A296" i="1"/>
  <c r="A297" i="1"/>
  <c r="A300" i="1"/>
  <c r="A312" i="1"/>
  <c r="A313" i="1"/>
  <c r="A323" i="1"/>
  <c r="A324" i="1"/>
  <c r="A331" i="1"/>
  <c r="A332" i="1"/>
  <c r="A340" i="1"/>
  <c r="A341" i="1"/>
  <c r="A342" i="1"/>
  <c r="A347" i="1"/>
  <c r="A353" i="1"/>
  <c r="A358" i="1"/>
  <c r="A359" i="1"/>
  <c r="A360" i="1"/>
  <c r="A361" i="1"/>
  <c r="A370" i="1"/>
  <c r="A371" i="1"/>
  <c r="A374" i="1"/>
  <c r="A385" i="1"/>
  <c r="A386" i="1"/>
  <c r="A401" i="1"/>
  <c r="A402" i="1"/>
  <c r="A413" i="1"/>
  <c r="A414" i="1"/>
  <c r="A420" i="1"/>
  <c r="A421" i="1"/>
  <c r="A422" i="1"/>
  <c r="A423" i="1"/>
  <c r="A424" i="1"/>
  <c r="A425" i="1"/>
  <c r="A426" i="1"/>
  <c r="A428" i="1"/>
  <c r="A429" i="1"/>
  <c r="A436" i="1"/>
  <c r="A437" i="1"/>
  <c r="A438" i="1"/>
  <c r="A439" i="1"/>
  <c r="A448" i="1"/>
  <c r="A449" i="1"/>
  <c r="A450" i="1"/>
  <c r="A451" i="1"/>
  <c r="A456" i="1"/>
  <c r="A457" i="1"/>
  <c r="A461" i="1"/>
  <c r="A462" i="1"/>
  <c r="A465" i="1"/>
  <c r="A466" i="1"/>
  <c r="A477" i="1"/>
  <c r="A478" i="1"/>
  <c r="A479" i="1"/>
  <c r="A482" i="1"/>
  <c r="A487" i="1"/>
  <c r="A488" i="1"/>
  <c r="A489" i="1"/>
  <c r="A491" i="1"/>
  <c r="A492" i="1"/>
  <c r="A493" i="1"/>
  <c r="A494" i="1"/>
  <c r="A495" i="1"/>
  <c r="A496" i="1"/>
  <c r="A497" i="1"/>
  <c r="A502" i="1"/>
  <c r="A503" i="1"/>
  <c r="A504" i="1"/>
  <c r="A509" i="1"/>
  <c r="A510" i="1"/>
  <c r="A175" i="1"/>
  <c r="A176" i="1"/>
  <c r="A177" i="1"/>
  <c r="A178" i="1"/>
  <c r="A179"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154" i="1"/>
  <c r="A29" i="1"/>
</calcChain>
</file>

<file path=xl/sharedStrings.xml><?xml version="1.0" encoding="utf-8"?>
<sst xmlns="http://schemas.openxmlformats.org/spreadsheetml/2006/main" count="8077" uniqueCount="1482">
  <si>
    <t>HSE SITE INSPECTION &amp; FINDINGS TRACKER</t>
  </si>
  <si>
    <t>##</t>
  </si>
  <si>
    <t>Inspection No</t>
  </si>
  <si>
    <t>Items</t>
  </si>
  <si>
    <t>Description</t>
  </si>
  <si>
    <t>Locations</t>
  </si>
  <si>
    <t>Inspection Date</t>
  </si>
  <si>
    <t xml:space="preserve">Risk Level </t>
  </si>
  <si>
    <t>Due Date</t>
  </si>
  <si>
    <t>Action By</t>
  </si>
  <si>
    <t>Status</t>
  </si>
  <si>
    <t>Remarks</t>
  </si>
  <si>
    <t>HSE-0057</t>
  </si>
  <si>
    <t>CGM # 01</t>
  </si>
  <si>
    <t>Fire Extinguisher depressurized</t>
  </si>
  <si>
    <t>Grand Mills</t>
  </si>
  <si>
    <t>M</t>
  </si>
  <si>
    <t>Logistics</t>
  </si>
  <si>
    <t>Closed</t>
  </si>
  <si>
    <t>Tyres are damaged on left side and have visible deep cuts.</t>
  </si>
  <si>
    <t>H</t>
  </si>
  <si>
    <t>CGM # 20</t>
  </si>
  <si>
    <t>Worn-out stickers on right side.</t>
  </si>
  <si>
    <t xml:space="preserve">CGM # 20 </t>
  </si>
  <si>
    <t>Solid mud covered on valves and modules due to rain.</t>
  </si>
  <si>
    <t>Section valve temperature reader was not functioning.</t>
  </si>
  <si>
    <t>Maintenance</t>
  </si>
  <si>
    <t>HSE-0058</t>
  </si>
  <si>
    <t>CGM # 25</t>
  </si>
  <si>
    <t>Fire Extinguisher lever was wrecked and it cannot function properly.</t>
  </si>
  <si>
    <t>Hadaf Food</t>
  </si>
  <si>
    <t>Chassis have visible cracks and swerd parts.</t>
  </si>
  <si>
    <t>Rear Mud-guard damaged on left side.</t>
  </si>
  <si>
    <t xml:space="preserve">CGM # 01 </t>
  </si>
  <si>
    <t>HSE-0059</t>
  </si>
  <si>
    <t xml:space="preserve">CGM # 10 </t>
  </si>
  <si>
    <t>Dana Steel</t>
  </si>
  <si>
    <t xml:space="preserve">CGM # 05 </t>
  </si>
  <si>
    <t>NPPF</t>
  </si>
  <si>
    <t>Worn-out stickers on left side and sheet has been opened.</t>
  </si>
  <si>
    <t>CGM # 24</t>
  </si>
  <si>
    <t>Stacking of wood on Fifth wheel.</t>
  </si>
  <si>
    <t>Super Galvanizing</t>
  </si>
  <si>
    <t xml:space="preserve">CGM # 24 </t>
  </si>
  <si>
    <t>Untidy and covered with mud.</t>
  </si>
  <si>
    <t>CGM # 10</t>
  </si>
  <si>
    <t>The section valve temperature reader was not functioning.</t>
  </si>
  <si>
    <t>Others</t>
  </si>
  <si>
    <t>Poor houskeeping near PRMS and CGM area.</t>
  </si>
  <si>
    <t>HSE-0060</t>
  </si>
  <si>
    <t xml:space="preserve">CGM # 12 </t>
  </si>
  <si>
    <t>No Fire Extinguisher box is damaged and tied with rope.</t>
  </si>
  <si>
    <t>Dulsco</t>
  </si>
  <si>
    <t>Rear Mud-guard damaged on both sides.</t>
  </si>
  <si>
    <t>Earthing was not use or connected during decanting process</t>
  </si>
  <si>
    <t>Concrete or metal wheel stopper (3 meters x 4.5 inches thickness).</t>
  </si>
  <si>
    <t>EMIC Sharjah</t>
  </si>
  <si>
    <t>HSE-0061</t>
  </si>
  <si>
    <t>Worn-out stickers on both the side.</t>
  </si>
  <si>
    <t>HSE-0062</t>
  </si>
  <si>
    <t>No Wheel Stopper</t>
  </si>
  <si>
    <t>Aggreko</t>
  </si>
  <si>
    <t>HSE</t>
  </si>
  <si>
    <t>CGM # 28</t>
  </si>
  <si>
    <t xml:space="preserve">Air-shocks were deflated. </t>
  </si>
  <si>
    <t xml:space="preserve">Dana Steel </t>
  </si>
  <si>
    <t xml:space="preserve">CGM # 28 </t>
  </si>
  <si>
    <t>Rear Mud-guard damaged on both sides due to air-shocks deflate.</t>
  </si>
  <si>
    <t>Worn-Out and Unridy Sticker for PRMS</t>
  </si>
  <si>
    <t>Gulf Food</t>
  </si>
  <si>
    <t>CGM # 09</t>
  </si>
  <si>
    <t xml:space="preserve">Exposed fire extinguisher. </t>
  </si>
  <si>
    <t>CGM # 21</t>
  </si>
  <si>
    <t>Air-shocks were deflated.</t>
  </si>
  <si>
    <t xml:space="preserve">CGM # 21 </t>
  </si>
  <si>
    <t>CGM # 06</t>
  </si>
  <si>
    <t>Stickers are worn out on each paritcular sides.</t>
  </si>
  <si>
    <t>L</t>
  </si>
  <si>
    <t xml:space="preserve">CGM # 09 </t>
  </si>
  <si>
    <t>Section valve temperature reader was not functioning</t>
  </si>
  <si>
    <t>HSE-0063</t>
  </si>
  <si>
    <t xml:space="preserve">CGM # 01  </t>
  </si>
  <si>
    <t xml:space="preserve">Using of 4.5kg Fire Extinguisher instead of 6 kg </t>
  </si>
  <si>
    <t>Untidy, dry leafs inside beddings.</t>
  </si>
  <si>
    <t>HSE-0064</t>
  </si>
  <si>
    <t>Exposed fire extinguisher</t>
  </si>
  <si>
    <t>Chassis have visible cracks.</t>
  </si>
  <si>
    <t>Tyres are damaged on rear both side and have visible deep cuts.</t>
  </si>
  <si>
    <t>HSE-0065</t>
  </si>
  <si>
    <t>Driver Mr. Ishaaq (TR-10) checklist was not prepare prior to start the journey.</t>
  </si>
  <si>
    <t xml:space="preserve">TR # 10  </t>
  </si>
  <si>
    <t>No portbale torch</t>
  </si>
  <si>
    <t>HSE-0066</t>
  </si>
  <si>
    <t>CGM # 15</t>
  </si>
  <si>
    <t xml:space="preserve">All Tyres shoulders have been flattened. Sratches and cracks on tyres wear </t>
  </si>
  <si>
    <t>IFFCO Al Ain</t>
  </si>
  <si>
    <t xml:space="preserve">CGM # 15 </t>
  </si>
  <si>
    <t>Rear Mud-guard damaged on both the sides</t>
  </si>
  <si>
    <t xml:space="preserve">TR # 01  </t>
  </si>
  <si>
    <t>Use of old Plastic F,E box</t>
  </si>
  <si>
    <t>CGM # 02</t>
  </si>
  <si>
    <t xml:space="preserve">CGM # 02 </t>
  </si>
  <si>
    <t>HSE-0067</t>
  </si>
  <si>
    <t>Broken tail light cover</t>
  </si>
  <si>
    <t>CNG Yard</t>
  </si>
  <si>
    <t>PRMS site location and Trailer parking was not cemented</t>
  </si>
  <si>
    <t>Unguarded,unprotected CNG pipelines.</t>
  </si>
  <si>
    <t>PRMS</t>
  </si>
  <si>
    <t>Whipcheck for both PRMS connection break away valve (left part) and trailer receptacle was not available.</t>
  </si>
  <si>
    <t>Visible damaged parts of CNG breakaway valve black rubber and the metal ring that holding the rubber was damaged.</t>
  </si>
  <si>
    <t>HSE-0068</t>
  </si>
  <si>
    <t>CGM # 13</t>
  </si>
  <si>
    <t xml:space="preserve">Stickers are worn out on each paritcular sides. </t>
  </si>
  <si>
    <t>HSE-0069</t>
  </si>
  <si>
    <t>CGM # 04</t>
  </si>
  <si>
    <t xml:space="preserve">Rear left tyre have visible sratches and cracks on tyres wear </t>
  </si>
  <si>
    <t>CGM # 05</t>
  </si>
  <si>
    <t xml:space="preserve">Rear left &amp; right tyres have visible sratches and cracks. </t>
  </si>
  <si>
    <t>Warehouse</t>
  </si>
  <si>
    <t>Fire Extinguisher depressurized.</t>
  </si>
  <si>
    <t>CEG Warehouse</t>
  </si>
  <si>
    <t>Eyewash are expired.</t>
  </si>
  <si>
    <t>HSE-0070</t>
  </si>
  <si>
    <t>CGM # 08</t>
  </si>
  <si>
    <t>Tool Kit Box broken</t>
  </si>
  <si>
    <t>Exposed fire extinguisher and old old plastic box.</t>
  </si>
  <si>
    <t>HSE-0072</t>
  </si>
  <si>
    <t>CGM # 22</t>
  </si>
  <si>
    <t>Untidy and dusty casing</t>
  </si>
  <si>
    <t>Both rear mud-guards were damaged</t>
  </si>
  <si>
    <t>Fire extinguisher has NO fire extinguisher tag.</t>
  </si>
  <si>
    <t>Broken rear beacon light.</t>
  </si>
  <si>
    <t>Eyewash were already expired dated 2021-08. (2nd time inspection)</t>
  </si>
  <si>
    <t>HSE-0073</t>
  </si>
  <si>
    <t>The temperature reader was not functioning.</t>
  </si>
  <si>
    <t>HSE-0074</t>
  </si>
  <si>
    <t>CGM # 19</t>
  </si>
  <si>
    <t>Rear Mud-guard damaged on both side.</t>
  </si>
  <si>
    <t>F.E box untightened.</t>
  </si>
  <si>
    <t>HSE-0075</t>
  </si>
  <si>
    <t>CGM # 03</t>
  </si>
  <si>
    <t>Using of 4.5kg Fire Extinguisher instead of 6 kg which is not fit as per requirement .</t>
  </si>
  <si>
    <t xml:space="preserve">Rear left tyre have visible deep wounds. </t>
  </si>
  <si>
    <t>Untidy and dusty casing.</t>
  </si>
  <si>
    <t>CGM # 07</t>
  </si>
  <si>
    <t>Both rear mud-guards were damaged.</t>
  </si>
  <si>
    <t>Gulfex</t>
  </si>
  <si>
    <t xml:space="preserve">Rear left tyre have visible deep cuts. </t>
  </si>
  <si>
    <t>Broken Tool Kit Box.</t>
  </si>
  <si>
    <t>Earthing was not use or connected during decanting process.</t>
  </si>
  <si>
    <t>Waiting for Branding approval</t>
  </si>
  <si>
    <t xml:space="preserve">Stickers are worn out on left and back sides of CGM.. </t>
  </si>
  <si>
    <t>HSE-0076</t>
  </si>
  <si>
    <t>CGM # 17</t>
  </si>
  <si>
    <t xml:space="preserve">Front left tyre have visible sratches and cracks on tyre wear </t>
  </si>
  <si>
    <t>Fire Extinguisher has NO fire extinguisher tag.</t>
  </si>
  <si>
    <t>HSE-0077</t>
  </si>
  <si>
    <t>CGM # 11</t>
  </si>
  <si>
    <t>Right side rear tyre have deep visible cuts.</t>
  </si>
  <si>
    <t>Al Talah</t>
  </si>
  <si>
    <t>Stickers are worn out on left and back sides of CGM.</t>
  </si>
  <si>
    <t>repeated</t>
  </si>
  <si>
    <t>HSE-0078</t>
  </si>
  <si>
    <t>Chassis have visible crack.</t>
  </si>
  <si>
    <t>CGM # 16</t>
  </si>
  <si>
    <t>Broken tail light cover.</t>
  </si>
  <si>
    <t>Ohana</t>
  </si>
  <si>
    <t xml:space="preserve"> CGM # 20</t>
  </si>
  <si>
    <t>Missing some bolts from Cylinder cover on both sides.</t>
  </si>
  <si>
    <t>HSE-0079</t>
  </si>
  <si>
    <t>Both side rear tyres have deep visible cuts.</t>
  </si>
  <si>
    <t>Stickers are worn out on all sides of CGM..</t>
  </si>
  <si>
    <t>Rear Mud-guard damaged on both the sides.</t>
  </si>
  <si>
    <t>HSE-0080</t>
  </si>
  <si>
    <t>Broken tail light Cover.</t>
  </si>
  <si>
    <t>Worn out rear tires. Visible scrapes on the tire tread wear.</t>
  </si>
  <si>
    <t>CGM # 14</t>
  </si>
  <si>
    <t>Deflated CGM airbags. (may cause damaged to the asset parts)</t>
  </si>
  <si>
    <t>Damaged rear mudguard both left and right.</t>
  </si>
  <si>
    <t>Fire extinguisher using 4.5kg instead if 6kg and no inspection tag.</t>
  </si>
  <si>
    <t>Old worn out stickers must be removed properly to preserve and maintain the CGM's elegant appearance.</t>
  </si>
  <si>
    <t>HSE-0081</t>
  </si>
  <si>
    <t>Rear right tire no.1, have deep visible cuts and visible scrapes on  tread wear.</t>
  </si>
  <si>
    <t>KIZAD MS</t>
  </si>
  <si>
    <t>Left right tire no.2, have deep visible cuts.</t>
  </si>
  <si>
    <t>HSE-0082</t>
  </si>
  <si>
    <t>TR # 14</t>
  </si>
  <si>
    <t>Front right &amp; left side tire flattended on shoulder wear</t>
  </si>
  <si>
    <t>No First Aid Box</t>
  </si>
  <si>
    <t>No checklist for truck and CGM</t>
  </si>
  <si>
    <t>HSE-0083</t>
  </si>
  <si>
    <t>Chassis has visible cracks.</t>
  </si>
  <si>
    <t>Exposed fire extinguisher. Provision of full covering to avoid any violations in the future and for safety and quality purposes.</t>
  </si>
  <si>
    <t>Tyres are damaged on rear both side and front left side have visible deep cuts.</t>
  </si>
  <si>
    <t>HSE-0084</t>
  </si>
  <si>
    <t>Damaged rear mudguard both left and right - due to unlevel CGM casing position and deflated air-shocks</t>
  </si>
  <si>
    <t>Tyres are damaged on front right side and have visible deep cuts.</t>
  </si>
  <si>
    <t>Fire Extinguisher has been overpressurized.</t>
  </si>
  <si>
    <t>HSE-0085</t>
  </si>
  <si>
    <t>TR # 11</t>
  </si>
  <si>
    <t>Diesel tank Leak</t>
  </si>
  <si>
    <t>TR # 02</t>
  </si>
  <si>
    <t>No Fire Extinguisher in the box</t>
  </si>
  <si>
    <t>Fire extinguisher was de-pressuirized of Trcuks &amp; Trailers in Parking area.</t>
  </si>
  <si>
    <t>HSE-0086</t>
  </si>
  <si>
    <t>Front Mud-guard damaged on left hand side.</t>
  </si>
  <si>
    <t>Fire Ectinguisher locks are broken</t>
  </si>
  <si>
    <t>CGM # 29</t>
  </si>
  <si>
    <t>No.2 Mud-guard damaged on left hand side.</t>
  </si>
  <si>
    <t>No Availablity of Checklist in PRMS</t>
  </si>
  <si>
    <t>Provided</t>
  </si>
  <si>
    <t>Untidy PRMS from inside, Valves and Joints are covered with dust.</t>
  </si>
  <si>
    <t>HSE-0087</t>
  </si>
  <si>
    <t>Security room no proper table and adjsutbale chair for security personnel.</t>
  </si>
  <si>
    <t>HR</t>
  </si>
  <si>
    <t>Please Remove the comment From Operation Report</t>
  </si>
  <si>
    <t>Untidy and not presentable safety signages.</t>
  </si>
  <si>
    <t>Stacking of Fire extinguisher in the drivers room kitchen.</t>
  </si>
  <si>
    <t>Stacking of different chemicals in the drivers room kitchen areas (Thinner and Adblue)</t>
  </si>
  <si>
    <t>Unwanted stacking of scrap materials - just on the wall behind the trailer parking.</t>
  </si>
  <si>
    <t>Worn out tire (3rd tire from the rear - right side)</t>
  </si>
  <si>
    <t>Ad blue tank no proper cap.</t>
  </si>
  <si>
    <t>Damage body kits front parts.</t>
  </si>
  <si>
    <t>Repaired</t>
  </si>
  <si>
    <t>Fire extinguisher box, the welding part was detached that cause excessive vibration and noise.</t>
  </si>
  <si>
    <t>Re-welded</t>
  </si>
  <si>
    <t>Checklist was not executed properly, Mr. Aleem</t>
  </si>
  <si>
    <t xml:space="preserve">Verbal warning given and Training given </t>
  </si>
  <si>
    <t>Checklist was not executed properly, until random inspection was conducted.</t>
  </si>
  <si>
    <t>Poor houskeeping on the site (Scattered materials)</t>
  </si>
  <si>
    <t>all the unused materials collected and the location kept clean</t>
  </si>
  <si>
    <t>Fire hose reel green box has no lock.</t>
  </si>
  <si>
    <t>All the location fire systems were inspected with the date 17/3 without any note and they should be accessible</t>
  </si>
  <si>
    <t>No built-in earthing system - all new arrived CGM's.</t>
  </si>
  <si>
    <t xml:space="preserve">all CGMs earthing have been installed </t>
  </si>
  <si>
    <t>HSE-0088</t>
  </si>
  <si>
    <t>Worn out stickers of CGM</t>
  </si>
  <si>
    <t xml:space="preserve">Replaced, </t>
  </si>
  <si>
    <t>rear bumper was wrecked (left part)</t>
  </si>
  <si>
    <t>Replaced</t>
  </si>
  <si>
    <t>Major damaged of tire CGM 05. 3rd tire from the rear (right part) A major scraped of tire wear.</t>
  </si>
  <si>
    <t>Broken Fire extinguisher box</t>
  </si>
  <si>
    <t>Broken tail light cover (right side)</t>
  </si>
  <si>
    <t>Damaged mudguard, 2nd tire from the rear (right side)</t>
  </si>
  <si>
    <t>Protruding nails on the scrap woods scattered at the PRMS and trailer parking area. Poor housekeeping.</t>
  </si>
  <si>
    <t>Eyewash not available where fabrication work is continues, dust and small debris are available at the working area.</t>
  </si>
  <si>
    <t>Projects</t>
  </si>
  <si>
    <t>Poor housekeeping and no proper waste collection, segregation and disposal, also poor materials and cable arrangement.</t>
  </si>
  <si>
    <t>Materials blocking the warehouse access.</t>
  </si>
  <si>
    <t>Stacking of materials behind the warehouse (Other company stacking those materials).</t>
  </si>
  <si>
    <t>Untidy toilet at the warehouse.</t>
  </si>
  <si>
    <t>HSE-0089</t>
  </si>
  <si>
    <t>Damaged and worn out cloud energi stickers - all sides.</t>
  </si>
  <si>
    <t>Mangment have to Confirm for Branding</t>
  </si>
  <si>
    <t>Visible scraped on the tire wear (1st wheel from the rear, right part).</t>
  </si>
  <si>
    <t>Visible cracks  on the tire, 2nd wheel from the rear (left part)</t>
  </si>
  <si>
    <t>Unconcrete and unlevel surface area of PRMS and TR parking</t>
  </si>
  <si>
    <t>Communicated with client</t>
  </si>
  <si>
    <t>Poor houskeeping at the PRMS area, where combustible materials are scattered everywhere.</t>
  </si>
  <si>
    <t>EMIC Sajaa</t>
  </si>
  <si>
    <t>Worn out windsock at the PRMS station.</t>
  </si>
  <si>
    <t>HSE-0090</t>
  </si>
  <si>
    <t>Worn out tire (1st and 3rd tire from the  right side)</t>
  </si>
  <si>
    <t>Worn out tire (3rd tire from the  left side)</t>
  </si>
  <si>
    <t xml:space="preserve">Missing nut bolts and loose nut bolts from the side sheet </t>
  </si>
  <si>
    <t>Cylinder tightening belts loosened</t>
  </si>
  <si>
    <t>the rubber separator repositioned</t>
  </si>
  <si>
    <t>HSE-0091</t>
  </si>
  <si>
    <t>Air-shocks were deflated. Possible incidents may occure.</t>
  </si>
  <si>
    <t>BRF Sadia</t>
  </si>
  <si>
    <t>Fire Extinguisher has been depressuirized.</t>
  </si>
  <si>
    <t>Refill the Fire Ex</t>
  </si>
  <si>
    <t>Rear Mudguard damaged on both the sides due to air baloons deflated</t>
  </si>
  <si>
    <t>Worn out tire from the front - right side.</t>
  </si>
  <si>
    <t>replaced</t>
  </si>
  <si>
    <t>HSE-0092</t>
  </si>
  <si>
    <t>Driver Mr. Rahmatullah, checklist was not prepare prior to start the journey</t>
  </si>
  <si>
    <t>Training Given</t>
  </si>
  <si>
    <t>TR # 12</t>
  </si>
  <si>
    <t>No portbale torch.</t>
  </si>
  <si>
    <t>Bought</t>
  </si>
  <si>
    <t>No Eyewash available in truck</t>
  </si>
  <si>
    <t xml:space="preserve">Placed </t>
  </si>
  <si>
    <t>Worn-out sticker.</t>
  </si>
  <si>
    <t xml:space="preserve">Will be replaced </t>
  </si>
  <si>
    <t>Side cylinder cover nut-bolts are missing &amp; loose.</t>
  </si>
  <si>
    <t>repaired</t>
  </si>
  <si>
    <t>HSE-0093</t>
  </si>
  <si>
    <t>Excavation work has been carried out near PRMS area where the truck drivers are facing  trouble while maneuvering trucks at the time of changeover.</t>
  </si>
  <si>
    <t>Conjested place for maneuvering trucks with trailer after the changeover.</t>
  </si>
  <si>
    <t>HSE-0094</t>
  </si>
  <si>
    <t>Chassis has visible cracks on both the sides.</t>
  </si>
  <si>
    <t>Rear Mud-guard damaged right side.</t>
  </si>
  <si>
    <t xml:space="preserve">Replaced </t>
  </si>
  <si>
    <t>CGM # 18</t>
  </si>
  <si>
    <t>Exposed engine mufler, no safety cover</t>
  </si>
  <si>
    <t>TR # 18</t>
  </si>
  <si>
    <t>Ad-Blue cap was missing, they just covered temporarily with gloves.</t>
  </si>
  <si>
    <t>Bought new Cap</t>
  </si>
  <si>
    <t>No Fire Extinguisher in the box.</t>
  </si>
  <si>
    <t>bolts installed</t>
  </si>
  <si>
    <t>HSE-0095</t>
  </si>
  <si>
    <t>Worn out tire no.02  from left side.</t>
  </si>
  <si>
    <t xml:space="preserve">No Concrete or metal wheel stopper </t>
  </si>
  <si>
    <t xml:space="preserve">Gas Supply </t>
  </si>
  <si>
    <t>Open</t>
  </si>
  <si>
    <t xml:space="preserve">Communicated with the client earlier, also for the decanting panel </t>
  </si>
  <si>
    <t>HSE-0096</t>
  </si>
  <si>
    <t>Replaced Air shocks</t>
  </si>
  <si>
    <t>Damaged rear mudguard on left side - due to unlevel CGM casing position and deflated air-shocks</t>
  </si>
  <si>
    <t>Broken beakon light cover</t>
  </si>
  <si>
    <t>CGM # 34</t>
  </si>
  <si>
    <t>Fire Extinguisher Depressurized</t>
  </si>
  <si>
    <t>FE replaced</t>
  </si>
  <si>
    <t>it is not a belt it is a rubber separator and it is installed properly</t>
  </si>
  <si>
    <t>HSE-0097</t>
  </si>
  <si>
    <t>F.E Depressurized</t>
  </si>
  <si>
    <t>Can Run upto 10K more</t>
  </si>
  <si>
    <t>Poor lights in night at the time of reversing trailers. The light has been placed on back of PRMS, which refletcs the rays in mirror and make a problems for driver while reverse.</t>
  </si>
  <si>
    <t xml:space="preserve"> PRMS site location and Trailer parking has unlevel surface, that may cause unbalance load distribution positioning of CGM's and can damaged to landing gears.</t>
  </si>
  <si>
    <t>CGM # 31</t>
  </si>
  <si>
    <t>Hose connection has no whip check.</t>
  </si>
  <si>
    <t>No Checklist in PRMS</t>
  </si>
  <si>
    <t>the rubber separator has been repositioned</t>
  </si>
  <si>
    <t>HSE-0098</t>
  </si>
  <si>
    <t xml:space="preserve">Worn out some of the ADR stickers </t>
  </si>
  <si>
    <t>Left tire worn out, cracks and  scraped on the surface of the tire wear,</t>
  </si>
  <si>
    <t>Untidy truck, covered with mud</t>
  </si>
  <si>
    <t>HSE-0099</t>
  </si>
  <si>
    <t>Rear Mud-guard damaged on right side.</t>
  </si>
  <si>
    <t>NFPC</t>
  </si>
  <si>
    <t>HSE-0100</t>
  </si>
  <si>
    <t>Sharp edges of road tires while parking truck in PRMS area.</t>
  </si>
  <si>
    <t>PRMS site location and Trailer parking was not cemented, unlevel surface and holes were visible, that may cause unbalance load distribution positioning of CGM's.</t>
  </si>
  <si>
    <t>HSE-0101</t>
  </si>
  <si>
    <t>Visible scrape on the tire wear (left and right rear tires)</t>
  </si>
  <si>
    <t>Damage chassis beam (behind the 5th wheel).</t>
  </si>
  <si>
    <t>Untidy drivers cabin.</t>
  </si>
  <si>
    <t>Muffler was detached from the main position, it leaves hanging and almost touch the surface.</t>
  </si>
  <si>
    <t>Visible electrical wirings at the base of side mirror (right side) the cover was removed.</t>
  </si>
  <si>
    <t>Fire extinguisher box was in poor condition, no proper locks and box worn out.</t>
  </si>
  <si>
    <t>Unsafe Condition (due to unlevel surface area the landing gear were supported with 2 scrap woods to maintain its level). Avoid unsafe habits that it will lead to major accident in the future.</t>
  </si>
  <si>
    <t xml:space="preserve">Communicated with the client </t>
  </si>
  <si>
    <t>HSE-0102</t>
  </si>
  <si>
    <t>Visible scrape on the tire wear (3rd wheel from the rear right side).</t>
  </si>
  <si>
    <t xml:space="preserve">Tyre can Run upto 10K </t>
  </si>
  <si>
    <t>CGM # 32</t>
  </si>
  <si>
    <t>Worn out stickers.</t>
  </si>
  <si>
    <t>Will be replaced</t>
  </si>
  <si>
    <t>PRMS boiler room - untidy and dusty surfaces.</t>
  </si>
  <si>
    <t>Presence of protruding nails on the scrap wood scattered at the trailer parking and PRMS area.</t>
  </si>
  <si>
    <t>Dried leaves at the bottom of the CGM beddings. Considered as a combustible waste.</t>
  </si>
  <si>
    <t>HSE-0103</t>
  </si>
  <si>
    <t>TR # 21</t>
  </si>
  <si>
    <t>Unavailability of eyewash, ATEX torch and MSDS Copy stated on the driver TR checklist.</t>
  </si>
  <si>
    <t>EMALAB</t>
  </si>
  <si>
    <t>Requested will be deliver shortly</t>
  </si>
  <si>
    <t>CGM # 38</t>
  </si>
  <si>
    <t>Untidy casing. Dust and muds all over the body.</t>
  </si>
  <si>
    <t>Planned for wash</t>
  </si>
  <si>
    <t>CGM # 37</t>
  </si>
  <si>
    <t>CGM # 39</t>
  </si>
  <si>
    <t>Using old fire extinguisher tag (2022) and not update accordingly.</t>
  </si>
  <si>
    <t>Driver Mr. Kamran driving TR 16 using old TR checklist which is not using the drivers anymore and unavailability of CGM checklist and still he is driving.</t>
  </si>
  <si>
    <t>Update the drivers</t>
  </si>
  <si>
    <t>TR # 16</t>
  </si>
  <si>
    <t>Damage chassis beam and hydraulic tank  (behind the 5th wheel).</t>
  </si>
  <si>
    <t>repaired 8/05/2023</t>
  </si>
  <si>
    <t xml:space="preserve">Cloudenergy stickers are worn out. </t>
  </si>
  <si>
    <t>HSE-0104</t>
  </si>
  <si>
    <t>Landing gears are not in proper position due to dry and ungreased.</t>
  </si>
  <si>
    <t>Greased</t>
  </si>
  <si>
    <t>CGM # 40</t>
  </si>
  <si>
    <t>Untidy CGM. Dust and muds all over the body.</t>
  </si>
  <si>
    <t>HSE-0105</t>
  </si>
  <si>
    <t>Visible scrape and punctures on the the tire wear. (3rd wheel from the rear - right side).</t>
  </si>
  <si>
    <t>Tyre replacment done</t>
  </si>
  <si>
    <t>Casing full of dust and muds beneath the bedding.</t>
  </si>
  <si>
    <t>Worn out CEG stickers together with the ADR stickers.</t>
  </si>
  <si>
    <t>Service Wash Done</t>
  </si>
  <si>
    <t>HSE-0106</t>
  </si>
  <si>
    <t>CGM # 30</t>
  </si>
  <si>
    <t>DANA STEEL</t>
  </si>
  <si>
    <t>Deep Visible scraped on the CGM casing (right side), where a hard contact occurred on this type of incident.</t>
  </si>
  <si>
    <t xml:space="preserve">Vehicle </t>
  </si>
  <si>
    <t>Faded ADR stickers (right side) of the CGM.</t>
  </si>
  <si>
    <t>OHANA</t>
  </si>
  <si>
    <t>Damaged trailer wiring connector cap.</t>
  </si>
  <si>
    <t>GULF FOOD</t>
  </si>
  <si>
    <t>HSE-0107</t>
  </si>
  <si>
    <t>Untidy CGM full of dust from all sides.</t>
  </si>
  <si>
    <t>Service Wash done</t>
  </si>
  <si>
    <t xml:space="preserve">Faded ADR Stickers (back side). </t>
  </si>
  <si>
    <t>Geminite</t>
  </si>
  <si>
    <t>Worn out  ADR stickers on back right hand side of casing.</t>
  </si>
  <si>
    <t>Sticker replaced</t>
  </si>
  <si>
    <t>2 nos. 6 Kg DCP Fire Extinguisher Over pressurized in PRMS area</t>
  </si>
  <si>
    <t>Scrap woods and flammable material scattered at the PRMS area. Poor housekeeping.</t>
  </si>
  <si>
    <t>HSE-0108</t>
  </si>
  <si>
    <t>Untidy casing and beddings, dust from all sides.</t>
  </si>
  <si>
    <t xml:space="preserve">No provision of lightings (IP-67 rating) for safe maneuver of trucks </t>
  </si>
  <si>
    <t>Al Foah</t>
  </si>
  <si>
    <t>No availability of windsock near PRMS area</t>
  </si>
  <si>
    <t>Tino fixed</t>
  </si>
  <si>
    <t>Waiting for Batteries delivery</t>
  </si>
  <si>
    <t>HSE-0109</t>
  </si>
  <si>
    <t>Fire Extinguisher box has no proper lock. The box was tied with a wire to close the lid, which it cannot be easily to open in case of any emergency.</t>
  </si>
  <si>
    <t xml:space="preserve">Fire EX box repalced </t>
  </si>
  <si>
    <t>Left side- 3rd tire from the rear, the maintenance team was not fully remove the plastic within the rim.</t>
  </si>
  <si>
    <t xml:space="preserve">Body casing full of dust and muds under the chassis. </t>
  </si>
  <si>
    <t>Visible scraped on the tire wear. Letf side - 3rd tire from the rear.</t>
  </si>
  <si>
    <t>KHK - Ajman</t>
  </si>
  <si>
    <t xml:space="preserve">Tyre Repalacment </t>
  </si>
  <si>
    <t>Visible scraped and cracks on the tire wear. Letf side - 2nd tire from the rear. Damaged Mud-guard.</t>
  </si>
  <si>
    <t xml:space="preserve">Visible scraped and cracks on the tire wear. Letf side - 1st and 2nd tire from the rear. </t>
  </si>
  <si>
    <t>F.E Box incomplete bolts and nuts to tightened the box properly. The lower part was not attached anymore that cause the box to wiggle especially when driving.</t>
  </si>
  <si>
    <t>Fire EX box repaired</t>
  </si>
  <si>
    <t>Visible scraped and cracks on the tire wear - right side, 1st tire from the rear.</t>
  </si>
  <si>
    <t>Visible scraped and cracks on the tire wear- right side, 3rd tire from the rear.</t>
  </si>
  <si>
    <t>Unlevel parking surface, it can cause and damage the the CGM chassis due to unbalance distribution of load. Scrap woods and bolts and nuts are present on the TR &amp; CGM parking.</t>
  </si>
  <si>
    <t>Site Closed</t>
  </si>
  <si>
    <t>HOT WORK ACTIVITIES WITHIN THE CNG YARD - welding, cutting and grinding, together with the Oxy&amp;acy tank fully operated. STRICTLY NOT ALLOWED!</t>
  </si>
  <si>
    <t>PRMS - Boiler room dusty floor and surfaces.</t>
  </si>
  <si>
    <t>No Windsock for CNG yard area.</t>
  </si>
  <si>
    <t>HSE-0110</t>
  </si>
  <si>
    <t>Visible scraped and cracks on the tire wear -
A, left side, 3rd and 2nd tires wheel from the rear. 
B. Left side, 2nd tire from the rear.</t>
  </si>
  <si>
    <t>Body casing full of dust and muds.</t>
  </si>
  <si>
    <t>SAFETY ALERT! No Proper room or cool room (waiting area) for the standby technician assigned on the site. The chance of getting heat stress is high, must take action immediately.</t>
  </si>
  <si>
    <t>HSE-0111</t>
  </si>
  <si>
    <t>Visible scraped and cracks on the tire wear. The groove wear almost level from the tire indicator. 3rd tire from the rear - left side.</t>
  </si>
  <si>
    <t>Tyre will be reaplaced on 10/05/2023</t>
  </si>
  <si>
    <t>Faded ADR stickers at the CGM casing.</t>
  </si>
  <si>
    <t xml:space="preserve">ADR sticker will be renewed under Renewal of registration </t>
  </si>
  <si>
    <t>Untidy casing where visible dust and muds are present, altogether with the ADR worn out stickers.</t>
  </si>
  <si>
    <t>Visible scraped and cracks on the tire wear. 3rd tire from the rear - right side.</t>
  </si>
  <si>
    <t>Visible scraped and cracks on the tire wear. 2nd tire from the rear - left side.</t>
  </si>
  <si>
    <t>HSE-0112</t>
  </si>
  <si>
    <t>CGM # 35</t>
  </si>
  <si>
    <t>Casing full of dust and untidy.</t>
  </si>
  <si>
    <t>CGM # 27</t>
  </si>
  <si>
    <t>Driver driving the TR with CGM but not doing the Checklist. Driver Name: Mr. M. Imran.</t>
  </si>
  <si>
    <t>Verbal warning and Training given</t>
  </si>
  <si>
    <t>Visble scraped and cracks on the tire wear - 3rd tire from the rear, left side.</t>
  </si>
  <si>
    <t>Tyre Repalcemnt Will on 10/05/2023</t>
  </si>
  <si>
    <t>Workers has no PPE's, such as; Hand gloves, clear and dark glasses, hard hat.</t>
  </si>
  <si>
    <t>Unlevel surface. With a high cut level from concrete to the land, which can damaged the tires while maneuvering.</t>
  </si>
  <si>
    <t>HSE-0113</t>
  </si>
  <si>
    <t>No eye wash and Safety ATEX Torch.</t>
  </si>
  <si>
    <t>equiped with ADR requirement</t>
  </si>
  <si>
    <t>Casing full of dust, upper and under.</t>
  </si>
  <si>
    <t>Damaged mudguard - Right side 1st one from the rear.</t>
  </si>
  <si>
    <t>Can Run upto 5K more</t>
  </si>
  <si>
    <t>HSE-0114</t>
  </si>
  <si>
    <t>Visble scraped and cracks on the tire wear - 1st tire from the front, left side.</t>
  </si>
  <si>
    <t>Replaced tire</t>
  </si>
  <si>
    <t>F.E is not fixed properly as the F.E box is too thin that it cannot remove easily from the box.</t>
  </si>
  <si>
    <t>Fixed the box</t>
  </si>
  <si>
    <t>Broken F.E handle</t>
  </si>
  <si>
    <t>Replaced the F.E</t>
  </si>
  <si>
    <t>Unavailability of ATEX Torch &amp; Eyewash in Truck.</t>
  </si>
  <si>
    <t>distributed</t>
  </si>
  <si>
    <t>Untidy casing full of dust &amp; mud from all sides.</t>
  </si>
  <si>
    <t>HSE-0115</t>
  </si>
  <si>
    <t>Driver driving the TR with CGM without Checklist. Driver Name: Mr. Manjeet Singh.</t>
  </si>
  <si>
    <t>Warning is given, To Driver</t>
  </si>
  <si>
    <t>CGM # 33</t>
  </si>
  <si>
    <t>2 nos. 6 Kg DCP Fire Extinguisher are Over pressurized in PRMS area</t>
  </si>
  <si>
    <t xml:space="preserve">Fire Extinguishers replaced </t>
  </si>
  <si>
    <t>HSE-0116</t>
  </si>
  <si>
    <t>Worn out ADR Stickers on the casing.</t>
  </si>
  <si>
    <t>Request for replacment</t>
  </si>
  <si>
    <t>Worn out  and faded ADR Stickers on the casing.</t>
  </si>
  <si>
    <t>Visible scrapes and cracks on the tire wear. The tire outer surface is almost level with the indicator. 3rd tire from the rear-left side.</t>
  </si>
  <si>
    <t>Visible scrapes and cracks on the tire wear. 1st tire from the rear-right side.</t>
  </si>
  <si>
    <t>Dusty and muddy, casing.</t>
  </si>
  <si>
    <t>HSE-0117</t>
  </si>
  <si>
    <t>HSE-0118</t>
  </si>
  <si>
    <t>Deflated air bags behind the trailer, that cause unbalance distribution of load and creates a big impact to the tires and chassis itself.</t>
  </si>
  <si>
    <t>Leak rectified</t>
  </si>
  <si>
    <t>Casing full of dust and muds.</t>
  </si>
  <si>
    <t xml:space="preserve">Visible scraped and cracks on the tire wears, the tire wear surface almost level with the tire indicator. (3rd tire from the rear = leftside) </t>
  </si>
  <si>
    <t xml:space="preserve">Tire wear surface almost level with the tire indicator. (2nd tire from the rear = leftside) </t>
  </si>
  <si>
    <t>Deflated air bags behind the trailer, that cause unbalance distribution of load, were create a big impact to the tires and chassis itself.</t>
  </si>
  <si>
    <t>Leak rectifited</t>
  </si>
  <si>
    <t>Visible scraped and cracks and the tire surface almost level on the tire indicator. (1st tire from the rear - right side).</t>
  </si>
  <si>
    <t>Replaced 10/05/2023</t>
  </si>
  <si>
    <t>Tire wear surface almost level on the tire indicator. (2nd tire from the rear - left side).</t>
  </si>
  <si>
    <t>PRMS Fence were totally wrecked and opened from behind and front.</t>
  </si>
  <si>
    <t>No more gas supply to EMIC sharjah</t>
  </si>
  <si>
    <t>Exposure of physical gas pipelines, no hard barricade protection incase of any hit or bump of any materials or vehicle. (Multiple reports were raised about the concern)</t>
  </si>
  <si>
    <t>HSE-0119</t>
  </si>
  <si>
    <t>Deflated Trailer airbags. Unbalanced distriubtion of loads that may effect to the tires and chassis and other minor parts.</t>
  </si>
  <si>
    <t xml:space="preserve">Rear beacon light cover was broken. </t>
  </si>
  <si>
    <t>Visible scraped and cracks on the tire wear. (3rd tire from the rear, left side)</t>
  </si>
  <si>
    <t>Plan Replaced 15/06/2023</t>
  </si>
  <si>
    <t>CEG Stickers totally worn-out both sides and back.</t>
  </si>
  <si>
    <t>Earthing clamp spring was damaged and not working properly to maintain its stability during operation.</t>
  </si>
  <si>
    <t>Done</t>
  </si>
  <si>
    <t>HSE-0120</t>
  </si>
  <si>
    <t>Unbalance standing trailer and no proper support with bolt rod for landing gears which is bent.</t>
  </si>
  <si>
    <t>CGM # 44</t>
  </si>
  <si>
    <t xml:space="preserve">Rear tail light cover was broken. </t>
  </si>
  <si>
    <t>CGM # 23</t>
  </si>
  <si>
    <t xml:space="preserve">Tire shoulder wear surface almost flattern most probably due to under inflation (2nd tire from the rear = leftside) </t>
  </si>
  <si>
    <t>HSE-0121</t>
  </si>
  <si>
    <t>(Right side) Landing Gear shoes has been bent / improper mounted.</t>
  </si>
  <si>
    <t>Visible scraped and cracks on the tire wear. (1st tire from the front, left side)</t>
  </si>
  <si>
    <t>Temperature reader not working</t>
  </si>
  <si>
    <t>HSE-0122</t>
  </si>
  <si>
    <t>CGM # 36</t>
  </si>
  <si>
    <t>No Beacon lights and reverse alarm installed at the trailer rear bumper.</t>
  </si>
  <si>
    <t>Plan Replaced 17/06/2023</t>
  </si>
  <si>
    <t>Fire extinguisher box locking system was damaged, it was  connected with a wire to closed the box and it is unsafe condition, that in case of any fire emergency it cannot be pull out easily.</t>
  </si>
  <si>
    <t>Plan Replaced 08/06/2023</t>
  </si>
  <si>
    <t>High humidity and lower temperature occurrence without proper cooling room (cabin) for the technicians while working under the heat of the sun. A high chances of getting heat stress when no action will be taken. (3rd time the report was raised)</t>
  </si>
  <si>
    <t>Provided portable cabin</t>
  </si>
  <si>
    <t xml:space="preserve">No direct install earthing system from its body itself. </t>
  </si>
  <si>
    <t>HSE-0123</t>
  </si>
  <si>
    <t>Visible scraped on the tire wear and the tire surface almost level with the indicator - 1st tire from the rear right side.</t>
  </si>
  <si>
    <t>Deflated airbags behind the trailer.</t>
  </si>
  <si>
    <t>Visible scraped on the tire wear - 1st tire from te rear right side.</t>
  </si>
  <si>
    <t>Visible scraped and cracks on the tire wear, the tire surface almost level with the indicator - 1st and 2nd tire from te rear left side.</t>
  </si>
  <si>
    <t>TR # 22</t>
  </si>
  <si>
    <t>Front tires visible scraped and cracks, the tire surface almost level with the indicator.</t>
  </si>
  <si>
    <t>Untidy casing altogether with Diesel and Ad-blue tank.</t>
  </si>
  <si>
    <t>Untidy casing full of dust and some muds, the ADR stickers are worn-out and need to replace.</t>
  </si>
  <si>
    <t>Visible scraped and cracks on the tire wear.</t>
  </si>
  <si>
    <t>Stacking of Combustible materials just beside the CGM's parking. The situation consider as unsafe condition where a chance of fire will occur due to decrease of temperature and other moving equipment on site.</t>
  </si>
  <si>
    <t>Photos attached</t>
  </si>
  <si>
    <t xml:space="preserve">Stacking of site materials at the PRMS yard area. </t>
  </si>
  <si>
    <t>HSE-0124</t>
  </si>
  <si>
    <t>Visible scraped on the tire wear, the tire surface is almost level on the indicator - 1st tire from the rear- right side</t>
  </si>
  <si>
    <t>Untidy and faded ADR Stickers.</t>
  </si>
  <si>
    <t>Earthing system (Wire, spring and clamp) is not available.</t>
  </si>
  <si>
    <t>Earth repaired</t>
  </si>
  <si>
    <t>HSE-0125</t>
  </si>
  <si>
    <t>Faded and worn out ADR Stickers.</t>
  </si>
  <si>
    <t>TR # 09</t>
  </si>
  <si>
    <t>Left unattended while the car key is still connected.</t>
  </si>
  <si>
    <t>ERCO</t>
  </si>
  <si>
    <t>Untidy casing, altogether with the diesel and Ad-blue tanks.</t>
  </si>
  <si>
    <t>Fire extinguisher box was tied by a cloth, which is out of standard and not good to see.</t>
  </si>
  <si>
    <t>Dusty casing and worn out ADR stickers.</t>
  </si>
  <si>
    <t>CGM # 26</t>
  </si>
  <si>
    <t>Dusty and muddy casing.</t>
  </si>
  <si>
    <t>No whip check.</t>
  </si>
  <si>
    <t>Visible scraped and cracks on the tire wear. 3rd tire from the rear, left side.</t>
  </si>
  <si>
    <t>Worn out tire, the tire wear is almost level with the indicator. 1st tire from the rear, right side.</t>
  </si>
  <si>
    <t>It was noticed that the landing gear has a minor bent while using to its full lengh.</t>
  </si>
  <si>
    <t>CGM &amp; PRMS yard area, the barrication and hardfencing towards the PRMS and parking are totally open both front and back, and the gas piping system protection was exposed totally. The area shall be considered as a RESTRICTED areas and maintain the security and safety of the surrounding to avoid any access of personnel on the location.</t>
  </si>
  <si>
    <t>Temperature guage not working.</t>
  </si>
  <si>
    <t>HSE-0126</t>
  </si>
  <si>
    <t xml:space="preserve">Tire shoulder wear surface almost flattern most probably due to under inflation or deep corner cutting  (1st tire from the rear = right side and 1st tire from front left side). </t>
  </si>
  <si>
    <t>6 Kg DCP Fire Extinguisher is Over pressurized in PRMS area</t>
  </si>
  <si>
    <t>CGM # 46</t>
  </si>
  <si>
    <t>Tire Puncture at the time of decanting.</t>
  </si>
  <si>
    <t>Visible scraped and cracks on the tire wear (1st tire from rear right side).</t>
  </si>
  <si>
    <t>Deep visible cuts and cracks on the tire wear (2nd tire from rear right side).</t>
  </si>
  <si>
    <t>HSE-0127</t>
  </si>
  <si>
    <t>Worn-out and faded ADR Stickers.</t>
  </si>
  <si>
    <t>Dusty and untidy casing.</t>
  </si>
  <si>
    <t>Deflated airbags, during decanting process, can damaged both tyres and chassis parts due to unbalance distribution of loads.</t>
  </si>
  <si>
    <t xml:space="preserve">The driver executed the decanting process did not connect the earthing system and not following the basic procedure properly.  </t>
  </si>
  <si>
    <t>TR # 27</t>
  </si>
  <si>
    <t>Thin tire wear surface, the tire wear almost level with the tire indicator (1st tire from the rear right side - outer tire)</t>
  </si>
  <si>
    <t>Chassis extension portal frame were totally bent up due to strong impact during 5th wheel connection, and no report was taken.</t>
  </si>
  <si>
    <t>PRMS &amp; CGMs Parking area, poor houskeeping where scrap woods with protruding nails are present.</t>
  </si>
  <si>
    <t>Stocking of materials just beside the CGM's parking area, (Avoid stocking of flammable and combustible materials near the PRMS and CGM's parking area atleast 10-15meters).</t>
  </si>
  <si>
    <t>Attached photos</t>
  </si>
  <si>
    <t>HSE-0128</t>
  </si>
  <si>
    <t>Driver Mr. Shyam Sunadaram driving the TR with CGM without Checklist for change over.</t>
  </si>
  <si>
    <t>TR # 05</t>
  </si>
  <si>
    <t>Right side Landing Gear shoes has been bent / improper mounted.</t>
  </si>
  <si>
    <t>HSE-0129</t>
  </si>
  <si>
    <t>Thin tire surface and visible scraped on the tire wear (1st and 3rd tires from the rear both outer and inner).</t>
  </si>
  <si>
    <t>Tire. (1st tire from the rear both outer and inner).</t>
  </si>
  <si>
    <t>Untidy casing.</t>
  </si>
  <si>
    <t>TR # 25</t>
  </si>
  <si>
    <t>The 5th wheel position exceeds the level of the 4oft. Kingpin height(Full landing gear). During the connection the driver must execute a hard contact just to insert the Truck 5th wheel direct to the kingpin.</t>
  </si>
  <si>
    <t>CEG Heat Stress Campaign - Beat The heat program. (Provision of mini- porta cabin for the workers working at Emalab where long exposure on site is mandatory due to high consumption of CNG).</t>
  </si>
  <si>
    <t>CGM's parking area has no proper hard barricade and the ground is not cemented.</t>
  </si>
  <si>
    <t>Communicated with client and site temprory closed due to construction work</t>
  </si>
  <si>
    <t>HSE-0130</t>
  </si>
  <si>
    <t>Deep visible scraped on the tire wear (3rd tire from the rear left side).</t>
  </si>
  <si>
    <t>Thin tire wear surface almost level with the tire indicator (1st tire from the rear left side).</t>
  </si>
  <si>
    <t>Untidy casing and worn out and faded ADR stickers.</t>
  </si>
  <si>
    <t>CEG Stickers are worn out and untidy.</t>
  </si>
  <si>
    <t>CNG Yard warning and hazards stickers are faded and unclear due to oil and dust on it.</t>
  </si>
  <si>
    <t>Construction Excavation beside PRMS yard and CGM's parking 1.5 meters from the Trailer.</t>
  </si>
  <si>
    <t>HSE-0131</t>
  </si>
  <si>
    <t>Untidy PRMS, full of dust inside</t>
  </si>
  <si>
    <t>PRMS, Stacking of waste materials inside the PRMS casing. Combustible and flammable materials must not be stack inside the PRMS. - Proper housekeeping is a must.</t>
  </si>
  <si>
    <t>Using of Damaged Wheel Stoppers fpr parking CGM</t>
  </si>
  <si>
    <t>Untidy CNG Pipeline and regulators fully covered with mud.</t>
  </si>
  <si>
    <t>Untidy PRMS from inside</t>
  </si>
  <si>
    <t>HSE-0133</t>
  </si>
  <si>
    <t>CGM # 51</t>
  </si>
  <si>
    <t>CGM # 51, No Fire Extinguisher in the box</t>
  </si>
  <si>
    <t>No Windsock installed near PRMS</t>
  </si>
  <si>
    <t>HSE-0134</t>
  </si>
  <si>
    <t>Worn out tire wear. Visible scraped and cracks on the tire wear, the indicator is level on the tire surface. 1st tires from the rear both left and right.</t>
  </si>
  <si>
    <t>Untidy casing and faded ADR Stickers.</t>
  </si>
  <si>
    <t>Thin Tire wear, the indicator is almost level with the tire surface - 3rd tire from the rear (right side).</t>
  </si>
  <si>
    <t>Thin Tire wear, the indicator is almost level with the tire surface - 1st tire from the rear right side (outer).</t>
  </si>
  <si>
    <t>Thin Tire wear, the indicator is almost level with the tire surface - 1st tires from the rear - left side (outer &amp; inner).</t>
  </si>
  <si>
    <t>PRMS CEG person incharged emergency contact information and no-smoking singage were totally worn out.</t>
  </si>
  <si>
    <t>site closed permenently</t>
  </si>
  <si>
    <t>HSE-0135</t>
  </si>
  <si>
    <t xml:space="preserve">Oil spillage from CNG storage </t>
  </si>
  <si>
    <t>Oil removed</t>
  </si>
  <si>
    <t>Leaking of oil from compressor-2 exhaust pipe</t>
  </si>
  <si>
    <t>water chiller hose rusted and covered with mud which is connected with compressor</t>
  </si>
  <si>
    <t>cleaned</t>
  </si>
  <si>
    <t>HSE-0136</t>
  </si>
  <si>
    <t>Not doing the TR &amp; CGM Checklist. The CGM checklist Dated last August 18, 2023 and the driver has no TR checklist and he is at NPPF for change over. Driver involved Mr. Sham Sadasium. TR.no.05</t>
  </si>
  <si>
    <t>Visible scraped and thin tire wear, the indicator is level with the tire surface. 1st tire from the rear, left side,</t>
  </si>
  <si>
    <t>Visible scraped and thin tire wear, the indicator is level with the tire surface. 1st tire from the rear, right side,</t>
  </si>
  <si>
    <t>Thin Tire wear, the indicator is almost level with the tire surface - 1st tire from the rear right side (outer). The same QHSE report was sent last August 17, 2023 but the corrective action was not taken seriously.</t>
  </si>
  <si>
    <t>Visible scraped and thin tire wear, the indicator is level with the tire surface. 1st tires from the rear, both left and right side,(Outer and inner tires)</t>
  </si>
  <si>
    <t>HSE-0137</t>
  </si>
  <si>
    <t>CGM No. 06, Thin tire surface. The tire indicator is almost level with the tire surface. 3rd tire from the rear - left side.</t>
  </si>
  <si>
    <t>Storing/Stacking of materials at CNG yard especially at TR &amp; CGM access where maneuvering is quite difficult due to a congested area and blind spots. Ensure Maneuvering perimeter is free from any materials that can cause blockage (hazard) on the access.</t>
  </si>
  <si>
    <t>Communicated with client and corrective action taken</t>
  </si>
  <si>
    <t>Poor Housekeeping at CNG yard area (inside and outside the fence).</t>
  </si>
  <si>
    <t>Untidy Safety Signages at CNG yard due to oils &amp; dust. No regualr cleaning maintenance.</t>
  </si>
  <si>
    <t>Untidy boiler room at PRMS system.</t>
  </si>
  <si>
    <t>HSE-0138</t>
  </si>
  <si>
    <t>Tyre#3  (located on the right-hand side) exhibits significant damage, characterized by deep cuts and visible abrasions</t>
  </si>
  <si>
    <t>Fire Extinguisher found with damaged handle and hose. Moreover, Fire extinguisher was not as per CEG standards.</t>
  </si>
  <si>
    <t>There were significant cuts and obvious scrapes on CGM#24, Tyre#3 (from the right side).</t>
  </si>
  <si>
    <t>Tyre# 2 (From right side) was found with deep cuts and visible scraps on it.</t>
  </si>
  <si>
    <t>Poor housekeeping is observed near the meter station, where a lot of debris and unwanted material is spreaded.</t>
  </si>
  <si>
    <t>working with projects team to remove all the unnecessary materials</t>
  </si>
  <si>
    <t>It was observed that CEG procedures were not followed while gas filling activity, e.g  safety cones, wheel stopper &amp; earthing</t>
  </si>
  <si>
    <t>on job training provided and more procedure reviewing applied</t>
  </si>
  <si>
    <t>HSE-0139</t>
  </si>
  <si>
    <t>Deflated Airbags- Has a high impact damaged on the CGM's part itself.</t>
  </si>
  <si>
    <t xml:space="preserve">POOR QUALITY of marking for identifying CGM No 10.  </t>
  </si>
  <si>
    <t>Earthing system was not in full function, the spring inside the wire casing was damaged. The wires trailed on the ground and cause tripping hazard.</t>
  </si>
  <si>
    <t>Earthing system was not in full function, the spring inside the wire casing was damaged.</t>
  </si>
  <si>
    <t xml:space="preserve">Stacking of waste inside the CGM yard. POOR HOUSKEEPING! </t>
  </si>
  <si>
    <t>HSE-0140</t>
  </si>
  <si>
    <t>It has been observed that No Fire Extinguisher was available in CGM#51.</t>
  </si>
  <si>
    <t xml:space="preserve">Over Pressurized Fire extinguisher found in CGM#51 on Geminite site. </t>
  </si>
  <si>
    <t>Technicians daily inspection checklist was not available in the PRMS.</t>
  </si>
  <si>
    <t>Daily inspection checklist of Technicians was not available in the PRMS (located in the HADAF Foods site)</t>
  </si>
  <si>
    <t>HSE-0141</t>
  </si>
  <si>
    <t>Tyre#4 of CGM#11 found with damaged tyre treads and visible cracks</t>
  </si>
  <si>
    <t>Kizad MS</t>
  </si>
  <si>
    <t>CGM#16, Tyre#6 exhibits significant damage, characterized by deep cuts and visible abrasions</t>
  </si>
  <si>
    <t>There were significant cuts and obvious scrapes on Tyre#6 of CGM#8</t>
  </si>
  <si>
    <t>TR # 08</t>
  </si>
  <si>
    <t>It has been observed that Tyre#3 &amp; 4 of Truck#08 found damaged with deep cuts</t>
  </si>
  <si>
    <t>It has been observed that Tyre#4 of CGM#15 with visible cracks and damages</t>
  </si>
  <si>
    <t>There were significant cuts and obvious scrapes on Tyre#1 of CGM#15</t>
  </si>
  <si>
    <t>It has been observed that No Fire Extinguisher was available in CGM#51. (Repeated Observation)</t>
  </si>
  <si>
    <t>It has been observed that tyre#12 of CGM #39 is not in good condition</t>
  </si>
  <si>
    <t>HSE-0142</t>
  </si>
  <si>
    <t>Tyre#1 of CGM#24 found with damaged tyre treads and visible cracks</t>
  </si>
  <si>
    <t>CGM#24, Tyre#4 exhibits significant damage, characterized by deep cuts and visible abrasions</t>
  </si>
  <si>
    <t>HSE-0143</t>
  </si>
  <si>
    <t>HSE-0144</t>
  </si>
  <si>
    <t>Worn out tire, Visible scrapes on the tire wear surface. 3rd tire from the rear left side.</t>
  </si>
  <si>
    <t>Deflated airbags. A chance to damaged both tires and trailer chassis and parts.</t>
  </si>
  <si>
    <t xml:space="preserve">Leak arrested and rectified </t>
  </si>
  <si>
    <t xml:space="preserve">Water accumulation at PRMS yard. An active hazard that may cause slip and fall to the workers working on the area and an environmental illhealth concern. </t>
  </si>
  <si>
    <t>HSE-0145</t>
  </si>
  <si>
    <t>No wheel stopper placed for parked CGM # 05</t>
  </si>
  <si>
    <t>Deflated airbags. (may cause damaged to the asset parts)</t>
  </si>
  <si>
    <t xml:space="preserve">Air bags changed </t>
  </si>
  <si>
    <t>Rear Mud-guard damaged on both sides due to deflated airbags.</t>
  </si>
  <si>
    <t xml:space="preserve">Service Wash Done /Wornout stikcers replaced </t>
  </si>
  <si>
    <t>No windsock available near PRMS</t>
  </si>
  <si>
    <t>Loosed bolts of Cylinder cover on front side.</t>
  </si>
  <si>
    <t>Loose and missing bolts of Cylinder cover on front side.</t>
  </si>
  <si>
    <t>HSE-0146</t>
  </si>
  <si>
    <t>TR # 17</t>
  </si>
  <si>
    <t>Poor houskeeping inside the cabin, dusty surfaces and scattered materials on it.</t>
  </si>
  <si>
    <t xml:space="preserve">Washing done </t>
  </si>
  <si>
    <t>TR &amp; CGM parking surface - Texture of scraped asphalt visible at the parking area, where the surface slowly scrape to deep  due to landing gear impact, which cause unbalance positioning of the the CGM's where a chance to damage the chassis and CGM's other parts.</t>
  </si>
  <si>
    <t>CNG Yard - Poor houskeeping and dried leaves accumulating on the yard perimeter where considered as a combustible waste</t>
  </si>
  <si>
    <t>CEG CNG Portacabin - Poor houskeeping and material arrangement.</t>
  </si>
  <si>
    <t>HSE-0147</t>
  </si>
  <si>
    <t>Improper waste collection mechanism/scheduled is not followed. Garbage is spread out of the dustbin area.</t>
  </si>
  <si>
    <t>Assets Management</t>
  </si>
  <si>
    <t>Dismantled material stacked behind the water storage tank.</t>
  </si>
  <si>
    <t>Poor housekeeping is observed in truck parking area, spare parts and other material spreaded all over</t>
  </si>
  <si>
    <t xml:space="preserve">Material Stacked in undesignated area. </t>
  </si>
  <si>
    <t>HSE-0148</t>
  </si>
  <si>
    <t>No wheel stopper placed for parked</t>
  </si>
  <si>
    <t>Iffco Al-Ain</t>
  </si>
  <si>
    <t>Drivers was warned to keep CE standereds</t>
  </si>
  <si>
    <t>Untidy casing full of dust, mud covered all over the NG valves.</t>
  </si>
  <si>
    <t>Its been observe that right side Chassis have minor visible cracks.</t>
  </si>
  <si>
    <t>National Dairy</t>
  </si>
  <si>
    <t>Open cut on the outer surface of the decanting hose.</t>
  </si>
  <si>
    <t>Informed Client to change the hose has PRMS under IFFCO</t>
  </si>
  <si>
    <t>Untidy PRMS, dust inside</t>
  </si>
  <si>
    <t>HSE-0149</t>
  </si>
  <si>
    <t>Thin tire wear surface, the indicator is almost level with the tire wear. (1st tire on the rear- right side).</t>
  </si>
  <si>
    <t>EMIC - Sajaa</t>
  </si>
  <si>
    <t>Untidy casing, full of dust and mud on the tire and chassis parts.</t>
  </si>
  <si>
    <t>FIRE HAZARD! - Poor housekeeping, accumulated combustible waste scattered on the CNG yard!</t>
  </si>
  <si>
    <t>Poor houskeeping at CNG Yard area.</t>
  </si>
  <si>
    <t>HSE-0150</t>
  </si>
  <si>
    <t>CGM # 49</t>
  </si>
  <si>
    <t>POOR QUALITY of marking for identifying CGM.</t>
  </si>
  <si>
    <t>CGM # 48</t>
  </si>
  <si>
    <t>Decanting hose has no whicpcheck connected.</t>
  </si>
  <si>
    <t>The section valve temperature reader was not functioning</t>
  </si>
  <si>
    <t>Worn out and faded ADR stickers of PRMS fencing.</t>
  </si>
  <si>
    <t>HSE-0151</t>
  </si>
  <si>
    <t>No Fire Extinguisher available in the PRMS yard.</t>
  </si>
  <si>
    <t>Loose bolts of Cylinder cover on front side.</t>
  </si>
  <si>
    <t xml:space="preserve">ballon changed </t>
  </si>
  <si>
    <t>HSE-0152</t>
  </si>
  <si>
    <t>Evidences are attached, While the body sticker is demaged due to which CGM looks untidy</t>
  </si>
  <si>
    <t>PRMS CNG tubes joints found with oil surroundings and was misalign.</t>
  </si>
  <si>
    <t xml:space="preserve"> Rear Mud-guard damaged on left hand side.</t>
  </si>
  <si>
    <t>Linen</t>
  </si>
  <si>
    <t>We have attached the picture, but we can still use this mudguard for 10000 kilometer(Minor broken)</t>
  </si>
  <si>
    <t xml:space="preserve">Metal Crash barrier was hit by our truck and got bented. </t>
  </si>
  <si>
    <t>HSE-0153</t>
  </si>
  <si>
    <t>PRMS guages Calliberation date has been due from 2022.</t>
  </si>
  <si>
    <t>Planned forFeb 24</t>
  </si>
  <si>
    <t>Missing &amp; Loose bolts of Cylinder cover on front side.</t>
  </si>
  <si>
    <t>Untidy casing, full of dust and mud.</t>
  </si>
  <si>
    <t>Damaged mudguard on left rear side.</t>
  </si>
  <si>
    <t xml:space="preserve"> Missing &amp; Loose bolts of Cylinder cover on front side.</t>
  </si>
  <si>
    <t>IFFCO</t>
  </si>
  <si>
    <t>Inserted checklist mention 1. Service Sticker, 2. Broken Seat, 3. Engine Malfuntioning.</t>
  </si>
  <si>
    <t>All done</t>
  </si>
  <si>
    <t>Broken driviers seat, supported with stone.</t>
  </si>
  <si>
    <t>HSE-0154</t>
  </si>
  <si>
    <t>Untidy casing, mud and dust all over the body.</t>
  </si>
  <si>
    <t>Attached photos (Washing done)</t>
  </si>
  <si>
    <t>Missing bolt on the CGM casing upper part - left side from the rear..</t>
  </si>
  <si>
    <t>TR # 20</t>
  </si>
  <si>
    <t>F.E. box has no proper lock and just tied up with cable wires. In case of fire emergency the F.E cannot be remove and use easily due to the unproper locked on the box.</t>
  </si>
  <si>
    <t>Untidy casing and diesel tank.</t>
  </si>
  <si>
    <t>Poor Houskeeping PRMS yard area, used oil, empty containers just left on the yard.</t>
  </si>
  <si>
    <t>HSE-0155</t>
  </si>
  <si>
    <t>Linen Cupboard</t>
  </si>
  <si>
    <t xml:space="preserve">The step access on the left entrance of the PRMS yard is high (Approx. 2.4ft) which has an effect on individual health physique when going inside and moving out. </t>
  </si>
  <si>
    <t>Signage not in-line with the CEG QHSE standard known as restricted area.</t>
  </si>
  <si>
    <t>HSE-0156</t>
  </si>
  <si>
    <t xml:space="preserve">Water Accumulated on the PRMS yard area. Drivers and Technicians were removing their safety shoes to do the decanting process and inspection. Any open wound on the feet can cause infections such as leptospirosis (rat urine) and it is highly dangerous and or any bacterias present on the water from the drainage.            </t>
  </si>
  <si>
    <t>Cleaned</t>
  </si>
  <si>
    <t>HSE-0157</t>
  </si>
  <si>
    <t>During decanting process the earthing was not connected as per the procedure. (Safety reminder: Prior connecting the hose from decanting panel to CGM receptacle, ensure that earthing system are connected properly)</t>
  </si>
  <si>
    <t>Poor Housekeeping = Stocking of waste and combustible materials just beside the CGM's PRMS yard area.</t>
  </si>
  <si>
    <t>Corroded (rusty) PRMS gas detector.</t>
  </si>
  <si>
    <t>CGM # 53</t>
  </si>
  <si>
    <t>Worn out ADR Sticker of CGM No. 53.</t>
  </si>
  <si>
    <t>No Safety cones install at the CGM perimeter area, where moving vehicles on the surroundings are present.</t>
  </si>
  <si>
    <t>Worn out CEG PRMS Stickers.</t>
  </si>
  <si>
    <t>HSE-0158</t>
  </si>
  <si>
    <t>No ATEX safety Torch.</t>
  </si>
  <si>
    <t xml:space="preserve">It was noticed that the driver was not conducting the soap bubble test during, before and after CNG refilling, decanting and hose connection especially at client site. </t>
  </si>
  <si>
    <t>Has no Fire Extinguisher.</t>
  </si>
  <si>
    <t>CGM # 20 and CGM # 06</t>
  </si>
  <si>
    <t>Untidy casing all over the body.</t>
  </si>
  <si>
    <t>CGM-06  (Evidence pictures are attached), one with the projects team</t>
  </si>
  <si>
    <t>Temperature indicator reader was not working.</t>
  </si>
  <si>
    <t>Poor Housekeeping at CNG/PRMS Yard. Stocking of combustible waste and wastes everywhere.</t>
  </si>
  <si>
    <t>EMIC - AL SAJAAH SHJ</t>
  </si>
  <si>
    <t>The site permenently closed</t>
  </si>
  <si>
    <t>Worn-out and faded CNG safety signages</t>
  </si>
  <si>
    <t>Worn-out orange windsock at the PRMS Yard.</t>
  </si>
  <si>
    <t>HSE-0159</t>
  </si>
  <si>
    <t>Water Accumulate in PRMS yard</t>
  </si>
  <si>
    <t>No Checklist available in PRMS</t>
  </si>
  <si>
    <t>all checklist Digitalized</t>
  </si>
  <si>
    <t>Depressurized Fire Extinguisher in PRMS Yard</t>
  </si>
  <si>
    <t>HSE-0160</t>
  </si>
  <si>
    <t>No Safety cones install at the CGM's parking where moving equipment are present on site.</t>
  </si>
  <si>
    <t>Communicated with the client - verbal</t>
  </si>
  <si>
    <t>CGM # 31 &amp;
CGM # 15</t>
  </si>
  <si>
    <t>Untidy Casing of CGM.</t>
  </si>
  <si>
    <t>(Evidence pictures are attached)</t>
  </si>
  <si>
    <t>Poor housekeeping at the CGMs parking area. Scrap woods and other sharp objects are present on the location.</t>
  </si>
  <si>
    <t>Safety signage posted at the fence (LC) was not in-line with the CEG safety signage standard. (2nd report but still there is no action).</t>
  </si>
  <si>
    <t>HSE-0161</t>
  </si>
  <si>
    <t>Poorhousekeeping - Accumulated waste and materials stacked at the CNG yard and TR parking where risk of maneuvering is getting higher and presence of combustible materials that may cause fire on the site.</t>
  </si>
  <si>
    <t>HSE-0162</t>
  </si>
  <si>
    <t>3rd QHSE site visit, poorhousekeeping ang stocking of materials at the CNG yard and CGM's parking. FIRE HAZARDS!</t>
  </si>
  <si>
    <t>HSE-0163</t>
  </si>
  <si>
    <t xml:space="preserve"> Deflated tire, 1st tire from the rear, left side.</t>
  </si>
  <si>
    <t>Temperature reader is not working.</t>
  </si>
  <si>
    <t>Poor Housekeeping - Accumuated waste at CNG Yard, were combustible waste is present on the area.</t>
  </si>
  <si>
    <t>Worn out - Safety signages and windsock at CNG Yard.</t>
  </si>
  <si>
    <t>Has no temperature reader.</t>
  </si>
  <si>
    <t>HSE-0164</t>
  </si>
  <si>
    <t>4th QHSE site report, The situation is getting worst poorhousekeeping/ Poor material management and stocking of materials at the CNG yard and CGM's parking. FIRE HAZARDS!</t>
  </si>
  <si>
    <t>Diesel tank breather nozzle was covered with a plastic cellophane, no proper covering</t>
  </si>
  <si>
    <t xml:space="preserve">evidence attahced </t>
  </si>
  <si>
    <t>Driver Mr. Jenny Mayola, does not doing the daily checklist properly.</t>
  </si>
  <si>
    <t>HSE-0165</t>
  </si>
  <si>
    <t xml:space="preserve"> Worn out/faded ADR stickers.</t>
  </si>
  <si>
    <t>Environmental -ill health disease. stagnant water accumulating at CNG yard, presence of mosquitoes.</t>
  </si>
  <si>
    <t>Worn-out windsock at CNG yard area.</t>
  </si>
  <si>
    <t>Depressurized DCPA Fire Extinguisher at CNG yard area.</t>
  </si>
  <si>
    <t>HSE-0166</t>
  </si>
  <si>
    <t>Unsecured Fire Extinguisher inside the box. Both straps were totally worn-out.</t>
  </si>
  <si>
    <t xml:space="preserve">Material Management - Blocking of materials on the main access of TR&amp;CGM's at CNG yard. At-least a minimum of 15meters safe distance-free from any obstruction. </t>
  </si>
  <si>
    <t>Poor Housekeeping - Accumulated waste at CNG yard. Considered as a combustible waste.</t>
  </si>
  <si>
    <t xml:space="preserve">Illumination - Installed lights for CNG yard was not functioning. </t>
  </si>
  <si>
    <t xml:space="preserve">Poor Housekeeping - PRMS Boiler room full of dust. </t>
  </si>
  <si>
    <t>HSE-0167</t>
  </si>
  <si>
    <t>Worn out and faded stickers must be removed properly and neatly to maintain its cleanliness</t>
  </si>
  <si>
    <t>Corroded CH4 gas detector at PRMS system</t>
  </si>
  <si>
    <t>HSE-0168</t>
  </si>
  <si>
    <t>Worn out - Safety signages at CNG Yard.</t>
  </si>
  <si>
    <t xml:space="preserve">EMIC - AL SAJAAH </t>
  </si>
  <si>
    <t>Worn out - windsock at CNG Yard.</t>
  </si>
  <si>
    <t>Protruding of Nails in CNG truck parking yard.</t>
  </si>
  <si>
    <t xml:space="preserve">Earthing was not use or connected during decanting process </t>
  </si>
  <si>
    <t xml:space="preserve"> Management - Blocking of materials on the main access of TR &amp; CGM's at CNG yard. At-least a minimum of 15meters safe distance-free from any obstruction and safe manuevering of truck. </t>
  </si>
  <si>
    <t>Oily substance spilled all over truck manuevring area.</t>
  </si>
  <si>
    <t>HSE-0169</t>
  </si>
  <si>
    <t>Poor Housekeeping - Accumulated waste at CNG yard and module parking yard. Considered as a flammable waste.</t>
  </si>
  <si>
    <t>No availability of metal crash barrier for decanting panel</t>
  </si>
  <si>
    <t xml:space="preserve">very limiited place at client GIB, so we prefer to have flexible </t>
  </si>
  <si>
    <t>No availability of concrete or metal wheel stopper.</t>
  </si>
  <si>
    <t>HSE-0170</t>
  </si>
  <si>
    <t>Worn out tire, Visible scrapes on the tire wear surface. 6th tire from the rear left side.</t>
  </si>
  <si>
    <t xml:space="preserve">Tire changed </t>
  </si>
  <si>
    <t>Worn out tire, Visible scrapes on the tire wear surface. 4th tire from the rear right side.</t>
  </si>
  <si>
    <t>HSE-0171</t>
  </si>
  <si>
    <t>Open hot Fumes present near CNY yard.</t>
  </si>
  <si>
    <t>This is steam</t>
  </si>
  <si>
    <t>CGM # 54</t>
  </si>
  <si>
    <t>Damage left side landing gear.</t>
  </si>
  <si>
    <t xml:space="preserve">Congested Access &amp; Egress for maneuvering of trailer </t>
  </si>
  <si>
    <t>Cleared the access</t>
  </si>
  <si>
    <t xml:space="preserve">Protruding nails and sharp objects found in the CGM parking  </t>
  </si>
  <si>
    <t xml:space="preserve">Not enough IP-67 lights in parking area. ( Availability of only 1 lights for CNG parking yard) </t>
  </si>
  <si>
    <t>HSE-0172</t>
  </si>
  <si>
    <t>Water leakage - due to damage of value for fire hydrant chamber near the waste storage area</t>
  </si>
  <si>
    <t>HSE-0173</t>
  </si>
  <si>
    <t xml:space="preserve">Open chambers with no barricades or safety cones - behind the workshop and the warehouse </t>
  </si>
  <si>
    <t xml:space="preserve">Broken wood with protruding nails left in an open area - behind projects workshop </t>
  </si>
  <si>
    <t>Behind compressor 8 and trucks parking area left untidy</t>
  </si>
  <si>
    <t xml:space="preserve">The eshaust pipe for compressor 02 is dirty with oils on it and at the joints </t>
  </si>
  <si>
    <t>Algae on the chiller pipes, joints, and the floor. Parts of the jpints are also rusty- between compressor 2 and 3</t>
  </si>
  <si>
    <t>HSE-0174</t>
  </si>
  <si>
    <t xml:space="preserve">Emergency contact numbers sticker on the main entrance fence is defaced </t>
  </si>
  <si>
    <r>
      <t xml:space="preserve">CGM </t>
    </r>
    <r>
      <rPr>
        <i/>
        <sz val="11"/>
        <rFont val="Calibri"/>
        <family val="2"/>
        <scheme val="minor"/>
      </rPr>
      <t xml:space="preserve"># </t>
    </r>
    <r>
      <rPr>
        <sz val="11"/>
        <rFont val="Calibri"/>
        <family val="2"/>
        <scheme val="minor"/>
      </rPr>
      <t>17</t>
    </r>
  </si>
  <si>
    <t xml:space="preserve">The fire extinguisher for CGM- 17 is under pressured. There are also scatches around cylinder body </t>
  </si>
  <si>
    <t xml:space="preserve">The windsock in the CGM and PRMS yard is damaged </t>
  </si>
  <si>
    <t>HSE-0175</t>
  </si>
  <si>
    <t>The inspection pit in the trucks workshop was found with no safety barriers while there was no work ongoing</t>
  </si>
  <si>
    <t xml:space="preserve">The valves and pipes for compressor 1 were found with leaks of water and formation of algae as a result of the leasge </t>
  </si>
  <si>
    <t xml:space="preserve">Bulk oil barrels were found stored on high rack in the warehouse </t>
  </si>
  <si>
    <t xml:space="preserve">The 'FLAMMABLE LIQUID' sticker on the diesel tank is defaced </t>
  </si>
  <si>
    <t xml:space="preserve">Trucks workshop left untidy with materials on the floors </t>
  </si>
  <si>
    <t xml:space="preserve">Bus stop only signage is detached at the top </t>
  </si>
  <si>
    <t xml:space="preserve">Assembly Point direction signage behind the projects workshop is bent to one side </t>
  </si>
  <si>
    <t>HSE-0176</t>
  </si>
  <si>
    <t>Old electrical materials; bulbs, panels, palstic bag and paint container kept in the LV Room 2</t>
  </si>
  <si>
    <t xml:space="preserve">The lock for the fire extinguisher box for TR - 08 is damaged and has been tied with a rope </t>
  </si>
  <si>
    <t xml:space="preserve">The lock for the fire extinguisher for CGM- 03 is damaged and has been tied </t>
  </si>
  <si>
    <t>The cylinder body for the fire extinguisher in CGM- 13 is rusty</t>
  </si>
  <si>
    <t>HSE-0177</t>
  </si>
  <si>
    <t xml:space="preserve">Poor housekeeping in CNG yard (protruding nails and dry leaves all around) </t>
  </si>
  <si>
    <t>We have set email tp Client</t>
  </si>
  <si>
    <t xml:space="preserve">Rear Mud-guard damaged on left hand side </t>
  </si>
  <si>
    <t>Tyre no.01 have visible deep cuts</t>
  </si>
  <si>
    <t>EPP</t>
  </si>
  <si>
    <t xml:space="preserve">The temperature reader was not functioning ( Broken Needle) </t>
  </si>
  <si>
    <t>Poor Housekeeping - Accumulated waste at CNG yard and module parking yard. Considered as a flammable wast</t>
  </si>
  <si>
    <t xml:space="preserve">Faded ADR Stickers </t>
  </si>
  <si>
    <t>HSE-0178</t>
  </si>
  <si>
    <t>CGM-51</t>
  </si>
  <si>
    <t>Fire extinguisher hose was damaged &amp; the body found corroded.</t>
  </si>
  <si>
    <t>MS</t>
  </si>
  <si>
    <t>TR-18</t>
  </si>
  <si>
    <t>TR-18 was found without Fire extinguisher in the cabinet &amp; the CGM was ready to be filled with CNG.</t>
  </si>
  <si>
    <t>MCP glass found damaged in control room
FP/L1/1</t>
  </si>
  <si>
    <t xml:space="preserve">CCP </t>
  </si>
  <si>
    <t>The body of the fire extinguisher in the projects workshop near the welding area is dirty and partly corroded.</t>
  </si>
  <si>
    <t>Project Workshop</t>
  </si>
  <si>
    <t xml:space="preserve">Projects </t>
  </si>
  <si>
    <t>TR-32</t>
  </si>
  <si>
    <t>TR-32 was found with its fire extinguisher removed - with the box empty</t>
  </si>
  <si>
    <t>Truck Parking</t>
  </si>
  <si>
    <t>TR-30</t>
  </si>
  <si>
    <t>TR-30 was found with its fire extinguisher removed - with the box empty</t>
  </si>
  <si>
    <t>HSE-0179</t>
  </si>
  <si>
    <t>Trucks parked in the dispensing area - blocking the driveway</t>
  </si>
  <si>
    <t>CGM-67</t>
  </si>
  <si>
    <t>Fire extinguisher handle is very loose. Also the cylinder  is not properly secured - tied with a rag.</t>
  </si>
  <si>
    <t>CGM-12</t>
  </si>
  <si>
    <t>Reflective sticker for the chassis is fainted &amp; damaged.</t>
  </si>
  <si>
    <t>HSE-0180</t>
  </si>
  <si>
    <t xml:space="preserve">It was observed that staff members were working in the PRMS yard without wearing proper PPE during cutting and grinding activities </t>
  </si>
  <si>
    <t xml:space="preserve">PRMS Yard </t>
  </si>
  <si>
    <t xml:space="preserve">It was observed that a worker was using a ladder without proper support </t>
  </si>
  <si>
    <t xml:space="preserve">Boiler room outside </t>
  </si>
  <si>
    <t xml:space="preserve">Electrical Hazard Non-insulated cables &amp; substandard connections are found for yje welding machine being used in the site </t>
  </si>
  <si>
    <t xml:space="preserve">Poor Housekeeping &amp; cable management </t>
  </si>
  <si>
    <t xml:space="preserve">Staff PPE, including shoes and uniforms. Have been observed to be faded and torn out </t>
  </si>
  <si>
    <t xml:space="preserve">Staff </t>
  </si>
  <si>
    <t>HSE-0181</t>
  </si>
  <si>
    <t>CGM-74</t>
  </si>
  <si>
    <t xml:space="preserve">The fire extinguisher in CGM#74 pressure guage is very low. The Cylinder body is also damaged </t>
  </si>
  <si>
    <t>Hose and body of the fire extinguisher in CGM#51 is damaged</t>
  </si>
  <si>
    <t>TR#30 has no fire extinguisher in the box</t>
  </si>
  <si>
    <t>CGM-14</t>
  </si>
  <si>
    <t xml:space="preserve">CGM#14 has no fire extinguisher in its box </t>
  </si>
  <si>
    <t>CGM-20</t>
  </si>
  <si>
    <t xml:space="preserve">Deflated air balloon for CGM#20 </t>
  </si>
  <si>
    <t>Pictures attached (Air Bellows Replaced)</t>
  </si>
  <si>
    <t>CGM-59</t>
  </si>
  <si>
    <t>CGM#59 being filled with CNG without any safety cone</t>
  </si>
  <si>
    <t>CGM-33</t>
  </si>
  <si>
    <t xml:space="preserve">CGM#33 Being filled with CNG without any safety cone </t>
  </si>
  <si>
    <t xml:space="preserve">Misbalanced mudguard due to deflated air balloom of CGM#20 </t>
  </si>
  <si>
    <t xml:space="preserve">Pressure guage for gate value 3 in the fire pump room is not calibrated </t>
  </si>
  <si>
    <t>HSE-0182</t>
  </si>
  <si>
    <t>CGM-37</t>
  </si>
  <si>
    <t>Broken chassis guardrail for CGM#37</t>
  </si>
  <si>
    <t xml:space="preserve">damaged cover for the diesel dispensing handles </t>
  </si>
  <si>
    <t xml:space="preserve">Damaged mudguard for CGM#37 right back tires </t>
  </si>
  <si>
    <t>TR-03</t>
  </si>
  <si>
    <t>Damaged left side driving mirror for TR#03</t>
  </si>
  <si>
    <t>HSE-0183</t>
  </si>
  <si>
    <t>CGM-11</t>
  </si>
  <si>
    <t>Deflated air balloon for CGM#11</t>
  </si>
  <si>
    <t>Misbalanced mudguard due to deflated air balloom of CGM#11</t>
  </si>
  <si>
    <t>Camera 28 bent from its original position toward the ground C-28</t>
  </si>
  <si>
    <t xml:space="preserve">No Numbering stickers on CGM#11 numbering done with marker </t>
  </si>
  <si>
    <t>HSE-0184</t>
  </si>
  <si>
    <t>It was observed to be lot metal debris are found in the truck reversing maneuvering area towards PRMS Yard</t>
  </si>
  <si>
    <t>Rutting of interlock pavement observed in the decanting area where the CGM were parked over the the sunken pavement</t>
  </si>
  <si>
    <t>Permanent barricades of PRMS found rusted and broken from foundation</t>
  </si>
  <si>
    <t>No permanent barricades behind the PRMS Unit</t>
  </si>
  <si>
    <t>CGM-25</t>
  </si>
  <si>
    <t>Electrical connection socket cover are damaged in CGM 25</t>
  </si>
  <si>
    <t>Tyres found with the cracks &amp; cut</t>
  </si>
  <si>
    <t>Damaged wheel chock are being used as a stopper</t>
  </si>
  <si>
    <t>Fire extinguisher found without internal inspection</t>
  </si>
  <si>
    <t>HSE-0185</t>
  </si>
  <si>
    <t>CGM-03</t>
  </si>
  <si>
    <t>Deflted air ballon for CGM#03</t>
  </si>
  <si>
    <t>CGM-21</t>
  </si>
  <si>
    <t>Deflted air ballon for CGM#21</t>
  </si>
  <si>
    <t>Mud guard resting on the tyres and wheels due to deflated air balloon - CGM #03</t>
  </si>
  <si>
    <t>Mud guard resting on the tyres due to deflated air balloon CGM #21</t>
  </si>
  <si>
    <t>Wrong parking of trucks - blocking both sides of the pedestrian walkway</t>
  </si>
  <si>
    <t>Damaged interlocks</t>
  </si>
  <si>
    <t>HSE-0186</t>
  </si>
  <si>
    <t>Expired calibration date for the PRMS gas detector - expired on 01-Sep-2024</t>
  </si>
  <si>
    <t>HDF</t>
  </si>
  <si>
    <t xml:space="preserve">Quotation shared with the client for the renewal </t>
  </si>
  <si>
    <t>Expired calibration date for the PRMS pressure guage - expired on 01-Sep-2024</t>
  </si>
  <si>
    <t>CGM-52</t>
  </si>
  <si>
    <t>Damaged reading bar for the temperature guage - CGM 52</t>
  </si>
  <si>
    <t>Defaced and emergency contacts sticker. Also, not enough contact information</t>
  </si>
  <si>
    <t>Right side tyre for CGM #52 is worn out with cuts.</t>
  </si>
  <si>
    <t>Automatic changeover slots (presuure Transmitre) in the decanting panel covered with a combustible material - polythyne bag</t>
  </si>
  <si>
    <t>Plastic bags placed in the PRMS boiler room</t>
  </si>
  <si>
    <t>Damaged windsock</t>
  </si>
  <si>
    <t>Defaced and emergency contacts sticker</t>
  </si>
  <si>
    <t>HSE-0187</t>
  </si>
  <si>
    <t>TR-05</t>
  </si>
  <si>
    <t xml:space="preserve">No stepping platform on the truck for air and elctrical hoses connection and direct exposure to rotating exle </t>
  </si>
  <si>
    <t>Absence of wheel stoppers on either side of the CGM during changeover</t>
  </si>
  <si>
    <t>No Availability of Soap bubble test spray bottle in PRMS.</t>
  </si>
  <si>
    <t>No emergency contacts signage in the PRMS yard</t>
  </si>
  <si>
    <t>Al Barakah Dates</t>
  </si>
  <si>
    <t>No permanent barricades/fencing for the PRMS yard</t>
  </si>
  <si>
    <t>Broken woods with protruding nails found in the parking area for the CGM</t>
  </si>
  <si>
    <t>Unlevelled interlocks in the CGM parking area</t>
  </si>
  <si>
    <t>Tree leaves and branches extending to the driving - serves as a possible obstruction the CEG drivers when reversing to the PRMS yard for changeover</t>
  </si>
  <si>
    <t>HSE-0188</t>
  </si>
  <si>
    <t>Unsafe Action: No use of PPE's while performing hot work</t>
  </si>
  <si>
    <t>Workshop</t>
  </si>
  <si>
    <t>Unsafe Action: Misusing of Safety Harness Life Line as a support for truck cabin.</t>
  </si>
  <si>
    <t>Unsafe Condition: Good Conductor Material and Flammable material(Paint cans) stacked near Electical Connection.</t>
  </si>
  <si>
    <t>HSE-0189</t>
  </si>
  <si>
    <t xml:space="preserve">Decanting station </t>
  </si>
  <si>
    <t>CGM-69</t>
  </si>
  <si>
    <t xml:space="preserve">Both the Person access &amp; truck access were Pad locked </t>
  </si>
  <si>
    <t>Expired fire extinguisher found inside the PRMS yard</t>
  </si>
  <si>
    <t xml:space="preserve">Tree leaves from adjustant structure are protruding EKFC PRMS yard &amp; obstructing the CGM while reversing </t>
  </si>
  <si>
    <t>HSE-0190</t>
  </si>
  <si>
    <t>CGM-13</t>
  </si>
  <si>
    <t>Deflated air balloon</t>
  </si>
  <si>
    <t>TR-08</t>
  </si>
  <si>
    <t>No fire extinguisher in the truck F.E. box</t>
  </si>
  <si>
    <t>TR-22</t>
  </si>
  <si>
    <t>Mud guard resting on wheels and rubbing the tires due to deflated air balloon</t>
  </si>
  <si>
    <t>HSE-0191</t>
  </si>
  <si>
    <t>No barricades/fencing  between  the CGM yard and the driveway</t>
  </si>
  <si>
    <t>Dana Steel - DIC</t>
  </si>
  <si>
    <t>Combustible materials - dry leaves, plastics and sharp edge objects found near the PRMS &amp; CGM yard</t>
  </si>
  <si>
    <t>Unlevel Ground / Unstabble CGM position due to sunken interlocks</t>
  </si>
  <si>
    <t>CGM-10</t>
  </si>
  <si>
    <t>Defective temperature guage</t>
  </si>
  <si>
    <t>HSE-0192</t>
  </si>
  <si>
    <t>Rutting observed in the interlock pavement in decanting area</t>
  </si>
  <si>
    <t>CGM-19</t>
  </si>
  <si>
    <t xml:space="preserve">Damaged mudguards found both the rear tyres </t>
  </si>
  <si>
    <t>Temperature gauge found not working</t>
  </si>
  <si>
    <t xml:space="preserve">Tire Inspected, not deep crack </t>
  </si>
  <si>
    <t>HSE-0193</t>
  </si>
  <si>
    <t>Expired service date for electric stacker - expired on 22/01/2025</t>
  </si>
  <si>
    <t>Procurement</t>
  </si>
  <si>
    <t>Pictures attached (stacker serviced and updated)</t>
  </si>
  <si>
    <t>CGM-09</t>
  </si>
  <si>
    <t>No fire extinguisher in F. E. box</t>
  </si>
  <si>
    <t>TR-12</t>
  </si>
  <si>
    <t>Loose fire extinguisher handle and corroded cylinder body</t>
  </si>
  <si>
    <t xml:space="preserve">Misaligned mud guard/resting on the tyres of CGM due to deflated air balloon </t>
  </si>
  <si>
    <t xml:space="preserve">Misaligned mud guard/resting on the tyres of CGMdue to deflated air balloon </t>
  </si>
  <si>
    <t>HSE-0194</t>
  </si>
  <si>
    <t>CGM-55</t>
  </si>
  <si>
    <t>Fire extinguisher found without internal inspection - 2 Months due</t>
  </si>
  <si>
    <t>Ajman</t>
  </si>
  <si>
    <t>Observed earth pit concrete cover kept on the earthing cable due to the retractor's auto-stop feature not working</t>
  </si>
  <si>
    <t>HSE-0195</t>
  </si>
  <si>
    <t>TR-38</t>
  </si>
  <si>
    <t>Depressurised fire extinguisher for TR-38</t>
  </si>
  <si>
    <t>CGM-38</t>
  </si>
  <si>
    <t>Over-pressurised fire extinguisher for CGM-38</t>
  </si>
  <si>
    <t>CGM-23</t>
  </si>
  <si>
    <t>Defective fire extinguisher handle for CGM-23. There is no pin</t>
  </si>
  <si>
    <t>HSE-0196</t>
  </si>
  <si>
    <t>Sharp-edged light metal cover overhead of the step ladder inside the CNG metering station</t>
  </si>
  <si>
    <t>Protruding iron rod in the sand track in front of the waiting room</t>
  </si>
  <si>
    <t>No fire extinguisher in CGM-14</t>
  </si>
  <si>
    <t>TR-28</t>
  </si>
  <si>
    <t>No safety covering for the Ad-blue tank</t>
  </si>
  <si>
    <t>Smoke detector in the electrical room - project department has been masked with a tape</t>
  </si>
  <si>
    <t>HSE-0197</t>
  </si>
  <si>
    <t>CGM-34</t>
  </si>
  <si>
    <t>Worn out right-rear side tires with cuts</t>
  </si>
  <si>
    <t xml:space="preserve">Fire extinguisher box is not opening properly - blocked by metal guard beside it </t>
  </si>
  <si>
    <t>CGM-27</t>
  </si>
  <si>
    <t>Deflated Air ballons</t>
  </si>
  <si>
    <t>HSE-0198</t>
  </si>
  <si>
    <t>TR-27</t>
  </si>
  <si>
    <t>Damaged fire extinguisher found in the F.E. box</t>
  </si>
  <si>
    <t>Damaged Earthing cable and clippe</t>
  </si>
  <si>
    <t>Damaged insulation for electrical cables</t>
  </si>
  <si>
    <t>TR-14</t>
  </si>
  <si>
    <t>No fire extinguisher</t>
  </si>
  <si>
    <t>CGM-35</t>
  </si>
  <si>
    <t>CGM-28</t>
  </si>
  <si>
    <t>HSE-0199</t>
  </si>
  <si>
    <t>PRMS Yard</t>
  </si>
  <si>
    <t>Steel frames/materials are directly placed infront of the gas modules, blocking the access.</t>
  </si>
  <si>
    <t>KHK</t>
  </si>
  <si>
    <t>It is been observed that there were no fencing or concrete barriers to protect or prevent unauthorized entry in PRMS area.</t>
  </si>
  <si>
    <t>Faded/Dusty Signages</t>
  </si>
  <si>
    <t>Damaged Mudguards</t>
  </si>
  <si>
    <t>HSE-0200</t>
  </si>
  <si>
    <t>Unsafe Act: A supervisor &amp; Welder were found working in a mobile scaffolding at a height of 2.5Mtr without a fall arrest system</t>
  </si>
  <si>
    <t>EDEN INT'l FZE</t>
  </si>
  <si>
    <t>Unsafe Act: Technician was found using Angle grinder to mill the drill bit using bare hands &amp; without eye protection.</t>
  </si>
  <si>
    <t>Unsafe Condition: Angle grinder observed without the handle</t>
  </si>
  <si>
    <t>Unsafe Condition: Uninsulated cables, damaged sockets &amp; Poor cable  Management</t>
  </si>
  <si>
    <t>Unsafe Condition: Wooden packaging materials were dismantled &amp; thrown near to our working area with protruding nails.</t>
  </si>
  <si>
    <t xml:space="preserve">Unsafe Condition: Debris were dumped on our pipeline storage from client side. </t>
  </si>
  <si>
    <t>HSE-0201</t>
  </si>
  <si>
    <t>Unitdy NG pipleine area, Valves and switches along with the pipeline are rusted and show signs of corrosion.  Risk of leaks due to corrosion</t>
  </si>
  <si>
    <t>Untidy PRMS</t>
  </si>
  <si>
    <t>Decanting Panel filled with Mud</t>
  </si>
  <si>
    <t>Faded warning sticker</t>
  </si>
  <si>
    <t>HSE-0202</t>
  </si>
  <si>
    <t>TR-35</t>
  </si>
  <si>
    <t>Fire extinguisher is kept in the truck cabin as there is no fire extinguisher box mounted on the truck</t>
  </si>
  <si>
    <t>As per Mr. Amarjit Singh (Heavy Driver), CGM#67 appear to be misaligned while driving on the road. It has been observed that the trailer is slightly to the left from the rear side during running on straight road.</t>
  </si>
  <si>
    <t>Due service sticker for truck is not fixed</t>
  </si>
  <si>
    <t xml:space="preserve">The sticker was not removed by mistake; however, the truck is not overdue. </t>
  </si>
  <si>
    <t>No physical inspection checklist is available at the PRMS location. It is unclear whether routine inspections are being carried out by technicians. As digital checklist system is reportedly in use, the QHSE team does not have access to it, making it difficult to verify inspection records.</t>
  </si>
  <si>
    <t>Al Barakah, Dana Steel, EPP</t>
  </si>
  <si>
    <t>All chechlist now through MaintainX</t>
  </si>
  <si>
    <t>HSE-0203</t>
  </si>
  <si>
    <t>Uneven ground surfaces may lead to unbalanced load distribution during the positioning of CGM, potentially causing damage to the landing gear shoes</t>
  </si>
  <si>
    <t>Linen Craft</t>
  </si>
  <si>
    <t>The entrance door to the PRMS side was opened by cutting down the padlock along with the latch.</t>
  </si>
  <si>
    <t>Multple cracks observed on CNG Hose</t>
  </si>
  <si>
    <t>The windsock at the PRMS station is worn out, faded, and no longer clearly visible</t>
  </si>
  <si>
    <t>HSE-0204</t>
  </si>
  <si>
    <t>Wheel chokes were perfectly placed front side &amp; back side of the wheels to prevent accidental movement</t>
  </si>
  <si>
    <t>ILT</t>
  </si>
  <si>
    <t>Extinguisher in the vehichle was inspected from both external &amp; Internal parties</t>
  </si>
  <si>
    <t xml:space="preserve">Tyre has a visible deep cut </t>
  </si>
  <si>
    <t>Observed dry leaves accumulation behind the PRMS</t>
  </si>
  <si>
    <t>HSE-0205</t>
  </si>
  <si>
    <t>UTP</t>
  </si>
  <si>
    <t>Multiple tyres have been observed with polished top cross treads, indicating excessive wear. No visible tread pattern remains, which compromises traction and safety.</t>
  </si>
  <si>
    <t>Replace 4 Tires</t>
  </si>
  <si>
    <t>Stationed material storage infront of PRMS Yard</t>
  </si>
  <si>
    <t>Fire extinguisher placed inside the PRMS yard quarterly inspection from 3rd party is expiring this month July 2025.</t>
  </si>
  <si>
    <t>HSE-0206</t>
  </si>
  <si>
    <t>No stepping platform for elctrical and air cables connection - Space kept open</t>
  </si>
  <si>
    <t>Air compressor is blocking the fire hose reel and extinguisher cabinet</t>
  </si>
  <si>
    <t>CGM-71</t>
  </si>
  <si>
    <t>Handle for the fire extinguisher is broken</t>
  </si>
  <si>
    <t>CGM-39</t>
  </si>
  <si>
    <t>There is no fire extinguisher mounted on both sides</t>
  </si>
  <si>
    <t>TR-23</t>
  </si>
  <si>
    <t>No fire extinguishger in the F. E. box</t>
  </si>
  <si>
    <t>CGM-04</t>
  </si>
  <si>
    <t>Over-pressured fire extinguisher</t>
  </si>
  <si>
    <t>HSE-0207</t>
  </si>
  <si>
    <t>Untidy PRMS and not well maintained, the pipelines are covered with spider webs, indicating a lack of regular cleaning and housekeeping.</t>
  </si>
  <si>
    <t xml:space="preserve"> It was observed that several bolts are either loose or missing from the CGM sheet. One of the sheets is secured with only three bolts, posing a potential safety risk.</t>
  </si>
  <si>
    <t>HSE-0208</t>
  </si>
  <si>
    <t>CGM-16</t>
  </si>
  <si>
    <t>CGM on site without fire extinguisher in the F. E. BOX</t>
  </si>
  <si>
    <t>Faulty temperature guage - not working</t>
  </si>
  <si>
    <t>CNG hose found with minor cracks</t>
  </si>
  <si>
    <t>It was observed that the calibration date for the pressure guages in the PRMS have expired - since September 2024</t>
  </si>
  <si>
    <t>Calibration date for Gas detector inside the PRMS has expired - since September 2024</t>
  </si>
  <si>
    <t>The rear right tire for CGM 13 is worn out on the sides and  with tread cuts</t>
  </si>
  <si>
    <t>HSE-0209</t>
  </si>
  <si>
    <t>CNG Compressor # 08, Water accumulate under the electric control panel.</t>
  </si>
  <si>
    <t>Adhesive cans are kept inside the compressor control panel.</t>
  </si>
  <si>
    <t>HSE-0210</t>
  </si>
  <si>
    <t>TR-09</t>
  </si>
  <si>
    <t>No stepping platform for air and electrical lines connection - TR-09</t>
  </si>
  <si>
    <t>TR-16</t>
  </si>
  <si>
    <t>No stepping platform for air and electrical lines connection - TR-16</t>
  </si>
  <si>
    <t>Cracked wall with air conditioner mounted  on it</t>
  </si>
  <si>
    <t>The Lever for the landing gear gets stuck during operation - making Release &amp; Retraction difficult - CGM-04</t>
  </si>
  <si>
    <t>HSE-0211</t>
  </si>
  <si>
    <t>No upper Wheel mud guards  for TR-08</t>
  </si>
  <si>
    <t>Worn out Tires with cuts - CGM-04</t>
  </si>
  <si>
    <t>4kg fire extnguisher found in CGM-04 instead of 6kg which is not fit per box requirement.</t>
  </si>
  <si>
    <t>TR-39</t>
  </si>
  <si>
    <t>Fire extinguisher box found in open condition. Cover is missing - TR-39</t>
  </si>
  <si>
    <t>Right tail light for TR-27 is broken</t>
  </si>
  <si>
    <t>CGM-32</t>
  </si>
  <si>
    <t>Landing gear lever in lose condition. It has been tied with a rope - CGM-32</t>
  </si>
  <si>
    <t>HSE-0212</t>
  </si>
  <si>
    <t>Spilled diesel left uncleaned</t>
  </si>
  <si>
    <t>Leaking diesel from the filling port left unattended</t>
  </si>
  <si>
    <t>No Fire Extinguisher in TR-30</t>
  </si>
  <si>
    <t>HSE-0213</t>
  </si>
  <si>
    <t>Debris spreading across the driveway near the exit from the PRMS Yard</t>
  </si>
  <si>
    <t>Windsock is damaged</t>
  </si>
  <si>
    <t xml:space="preserve">Windshock ordered and waiting for delivery </t>
  </si>
  <si>
    <t>Cans containing paint stored in the CNG decanting panel</t>
  </si>
  <si>
    <t>Faded Warning and PRMS Yard signage</t>
  </si>
  <si>
    <t>No emergency contacts signage installed in the PRMS Yard</t>
  </si>
  <si>
    <t>HSE-0214</t>
  </si>
  <si>
    <t>There is no stepping platform for air and electrical cables connection - in open condition - TR-39</t>
  </si>
  <si>
    <t>Rear chasis bumper is broken - CGM-09 (observed to have been previously welded)</t>
  </si>
  <si>
    <t>Fire extinguisher box has no cover - in open condtion - TR-39</t>
  </si>
  <si>
    <t>HSE-0215</t>
  </si>
  <si>
    <t>CGM-15</t>
  </si>
  <si>
    <t>Damaged tires with deep cuts - CGM-15</t>
  </si>
  <si>
    <t>No stepping platform for air and electrical lines connection - TR-08</t>
  </si>
  <si>
    <t>No fire extinguisher in the F.E. Box - TR-08</t>
  </si>
  <si>
    <t>Overdue external inspection for firefighting systems &amp; Equipment</t>
  </si>
  <si>
    <t>HSE-0216</t>
  </si>
  <si>
    <t>It has been observed in the temporary workspace, combustible materials &amp; flammable materials are being found.</t>
  </si>
  <si>
    <t>Poor cable management &amp; multiple connections in single socket</t>
  </si>
  <si>
    <t>Calibration Expired: All the gauges, pressure sensors, hoses &amp; detectors calibration dates expired.</t>
  </si>
  <si>
    <t>HSE-0217</t>
  </si>
  <si>
    <t>Calibration Expired: All the gauges, pressure sensors, hoses &amp; detectors calibration dates expired. Some guages nearing the expiry date in 2days.</t>
  </si>
  <si>
    <t>Repeated Observation: Wind sock found to be damaged &amp; color faded</t>
  </si>
  <si>
    <t>Fire extinguishers were placed on the floors</t>
  </si>
  <si>
    <t>HSE-0218</t>
  </si>
  <si>
    <t>Congested with limited walking space &amp; materials are not properly stacked. Potential risk of material falling while accessing</t>
  </si>
  <si>
    <t>Al shalila Stuff accommodation</t>
  </si>
  <si>
    <t>Sewage overflow from drain pipe. Present situation creating bad odor &amp; invites mosquitos: Biological hazard</t>
  </si>
  <si>
    <t>Unused/Damaged appliances are kept everywhere including exit pathway &amp; staircases. 
Risk: These obstructions may block emergency exit routes, increasing the risk of tripping or falling during evacuation</t>
  </si>
  <si>
    <t>Emergency contact numbers are outdated.</t>
  </si>
  <si>
    <t xml:space="preserve">Damaged wooden tables are being used for cooking activities. They might collapse at any time due to overloading &amp; cause physical injuring by fall of hot materials. </t>
  </si>
  <si>
    <t>Combustible materials (mattress) were found on the terrace where the staffs are smoking without any faciltiies. 
High potential risk of Fire</t>
  </si>
  <si>
    <t>High Risk: No fire extinguishers are available in the facility to control small fires in case of an emergency.</t>
  </si>
  <si>
    <t>No first aid materials are available within the facility</t>
  </si>
  <si>
    <t>Unhygiene condition: Dustbin in the kitchen were found without the covers</t>
  </si>
  <si>
    <t>Presence of cockroaches observed in the kitchen area &amp; poses pest control issues.</t>
  </si>
  <si>
    <t>Old food packets are being stored outside the rooms causing hygiene issue</t>
  </si>
  <si>
    <t>HSE-0219</t>
  </si>
  <si>
    <t>CGM-24</t>
  </si>
  <si>
    <t xml:space="preserve">Good Observation: 
Wheel chokes were perfectly placed front side &amp; back side of the wheels to prevent accidental movement. </t>
  </si>
  <si>
    <t xml:space="preserve">PRMS </t>
  </si>
  <si>
    <t>Good Observation: All the detectors, gauges &amp; pressure transducers were calibrated &amp; upto date</t>
  </si>
  <si>
    <t>The wheels stoppers are damaged &amp; lost the rigidity due to aging.</t>
  </si>
  <si>
    <t>Dust accumulation inside &amp; outside the PRMS</t>
  </si>
  <si>
    <t>Signages are faded &amp; outdated. Doesn’t serve the purpose of precautions.
Missing of emergency contact numbers.</t>
  </si>
  <si>
    <t>HSE-0220</t>
  </si>
  <si>
    <t>Housekeeping: Combustible paper materials are found near to the PRMS area</t>
  </si>
  <si>
    <t>UPIC</t>
  </si>
  <si>
    <t>Construction materials and project tools are still found near the PRMS area, creating clutter and potential obstruction</t>
  </si>
  <si>
    <t>Light pole exposed to the vehicle movement</t>
  </si>
  <si>
    <t>HSE-0221</t>
  </si>
  <si>
    <t>CGM-44</t>
  </si>
  <si>
    <t xml:space="preserve">Good Observation: CGM parked with wheel chocks preventing from accidental movement. </t>
  </si>
  <si>
    <t>Expired gauge calibration</t>
  </si>
  <si>
    <t>LEL detector found without calibration details</t>
  </si>
  <si>
    <t>Stationed materials &amp; trolley observed in front of the PRMS yard</t>
  </si>
  <si>
    <t>HSE-0222</t>
  </si>
  <si>
    <t>CGM-49</t>
  </si>
  <si>
    <t>Chassis side indicator cables are found with damaged or improper insulation</t>
  </si>
  <si>
    <t>Substandard oil tray used for collecting oil</t>
  </si>
  <si>
    <t>Unused materials, can &amp; water bottles are found inside the PRMS</t>
  </si>
  <si>
    <t>Expired gauge calibration on LEL detector.</t>
  </si>
  <si>
    <t>Fire extinguisher found dirty with bird droppings</t>
  </si>
  <si>
    <t>HSE-0223</t>
  </si>
  <si>
    <t>Truck parking area inside the PRMS yard is damaged and temporarily covered with sheets and sand</t>
  </si>
  <si>
    <t>Truck barriers located before the PRMS area are found to be damaged</t>
  </si>
  <si>
    <t>HSE-0224</t>
  </si>
  <si>
    <t>CGM-36</t>
  </si>
  <si>
    <t>No fire extinguisher in CGM-36</t>
  </si>
  <si>
    <t>Depressurised fire extinguisher in TR-30</t>
  </si>
  <si>
    <t>CGM-06</t>
  </si>
  <si>
    <t>Fails to communicate the material in transport to other road users as it cannot be eligibly read</t>
  </si>
  <si>
    <t>Damaged Handle for CNG Compressor 1 door</t>
  </si>
  <si>
    <t>HSE-0225</t>
  </si>
  <si>
    <t>Dislocated safety pollards</t>
  </si>
  <si>
    <t>PRMS YARD</t>
  </si>
  <si>
    <t>Cigarette butts are found near to the PRMS yard</t>
  </si>
  <si>
    <t>Fire extinguishers are being found placed on the floor</t>
  </si>
  <si>
    <t>Damaged wind sock</t>
  </si>
  <si>
    <t>HSE-0226</t>
  </si>
  <si>
    <t>CGM-07</t>
  </si>
  <si>
    <t>5th wheel lock chassis is found damaged and deformed
CGM 07</t>
  </si>
  <si>
    <t>National diary</t>
  </si>
  <si>
    <t>Temperature gauge found not working - CGM 07</t>
  </si>
  <si>
    <t>Decanting panel door hinge damaged</t>
  </si>
  <si>
    <t>HSE-0227</t>
  </si>
  <si>
    <t>Rutting of interlock pavement observed in the decanting area where the CGM were parked over the  sunken pavement</t>
  </si>
  <si>
    <t xml:space="preserve"> 5th wheel lock chassis is found damaged and deformed
CGM 07</t>
  </si>
  <si>
    <t>CGM-05</t>
  </si>
  <si>
    <t>Temperature gauge found not working. Failure to monitor the equipment</t>
  </si>
  <si>
    <t>Forklift movement in PRMS yard without barricades or separation.</t>
  </si>
  <si>
    <t>Waste materials found inside the decanting panel</t>
  </si>
  <si>
    <t>Oil separators leaking oil onto the ground.</t>
  </si>
  <si>
    <t>Emirates Printing Press</t>
  </si>
  <si>
    <t>Near to the manhole interlocks have been sunk Infront of PRMS area</t>
  </si>
  <si>
    <t>Evidence of deformation &amp; damaged chassis</t>
  </si>
  <si>
    <t>La Laundry</t>
  </si>
  <si>
    <t>Fire extinguishers quarterly inspections are due .</t>
  </si>
  <si>
    <t>Materials are being stacked Infront of the PRMS</t>
  </si>
  <si>
    <t>Fire extinguisher cabinet in the CGM was jammed &amp; difficult to open</t>
  </si>
  <si>
    <t>HSE-0228</t>
  </si>
  <si>
    <t>CNG hose caliberation found expired on 13 Sep 2025</t>
  </si>
  <si>
    <t>Decanting Panel CNG Pressure reader found expired on 13 Sep 2025</t>
  </si>
  <si>
    <t>PRMS gas detector caliberation found expired on 13 Sep 2025</t>
  </si>
  <si>
    <t>Windsock in PRMS yard found torn and non-functional.</t>
  </si>
  <si>
    <t>PRMS yard Fire extinguisher overpressurized.</t>
  </si>
  <si>
    <t>CGM #12 air balloon suspension found deflated.</t>
  </si>
  <si>
    <t>Untidy PRMS inside, covered with dust</t>
  </si>
  <si>
    <t>HSE-0229</t>
  </si>
  <si>
    <t>Compressor Bay area - Hazardous Materials</t>
  </si>
  <si>
    <t>Electrical trench beside compressor 8 - OSH Construction</t>
  </si>
  <si>
    <t>HSE-0230</t>
  </si>
  <si>
    <t>TR-38 - No stepping platform for air and electrical wires connection</t>
  </si>
  <si>
    <t>TR-40</t>
  </si>
  <si>
    <t>TR-40 - Insufficient stepping platform for ABS and electrical lines connection</t>
  </si>
  <si>
    <t>TR-14 - No wheel mud guards for upper parts of the tires</t>
  </si>
  <si>
    <t>TR-06</t>
  </si>
  <si>
    <t>TR-06 Damaged left headlights</t>
  </si>
  <si>
    <t>Tr-07</t>
  </si>
  <si>
    <t>No ABS and Electrical wires for TR-07</t>
  </si>
  <si>
    <t>Suspension system of the trailer is lowered and the mudguards resting on the wheels/tires</t>
  </si>
  <si>
    <t>CGM-18</t>
  </si>
  <si>
    <t>Faded Sticker - CGM-18</t>
  </si>
  <si>
    <t>HSE-0231</t>
  </si>
  <si>
    <t>CGM parking area surface found uneven and unlevel.</t>
  </si>
  <si>
    <t>Cover door for the decanting panel found missing.</t>
  </si>
  <si>
    <t>PRMS boiler motor cover found missing.</t>
  </si>
  <si>
    <t>CGM #27 air balloon suspension found deflated.</t>
  </si>
  <si>
    <t>CGM # 07 Temperature reader not functioning</t>
  </si>
  <si>
    <t xml:space="preserve">IFFCO </t>
  </si>
  <si>
    <t>Truck cabin found untidy, dusty and not properly cleaned.</t>
  </si>
  <si>
    <t>HSE-0232</t>
  </si>
  <si>
    <t>Emic</t>
  </si>
  <si>
    <t>Overdue fire extinguisher inspection in truck</t>
  </si>
  <si>
    <t>Overall cleanliness was good.
No signages of emergency contact numbers, company instructions</t>
  </si>
  <si>
    <t>Sajja Accommodation</t>
  </si>
  <si>
    <t>5th wheel lock chassis is found damaged and deformed Coupling mechanism can fail during the truck connection</t>
  </si>
  <si>
    <t xml:space="preserve">Damaged safety bollards and fence </t>
  </si>
  <si>
    <t>Safety information signages are dusty &amp; invisible of information</t>
  </si>
  <si>
    <t>Outdated calibration in all the gauges</t>
  </si>
  <si>
    <t xml:space="preserve">Gauges &amp; cable pipes are rusty </t>
  </si>
  <si>
    <t>Obstruction, tripping hazard, and potential damage to the extinguisher</t>
  </si>
  <si>
    <t>National Paints</t>
  </si>
  <si>
    <t>CGM-56</t>
  </si>
  <si>
    <t>Foam fire extinguisher was observed in PRMS yard</t>
  </si>
  <si>
    <t>HSE-0233</t>
  </si>
  <si>
    <t>Overdue Monthly fire extinguisher inspection in truck</t>
  </si>
  <si>
    <t>LEL detector found to be rusted</t>
  </si>
  <si>
    <t>Safety information signages are faded invisible of information</t>
  </si>
  <si>
    <t>Al ghurair</t>
  </si>
  <si>
    <t>Fire extinguisher found to be overpressure as the needle indicates at red</t>
  </si>
  <si>
    <t>Materials are stacked Infront of the CGM entrance</t>
  </si>
  <si>
    <t>Only 2 fire extinguishers were available &amp; also observed that difficulty reaching the extinguishers</t>
  </si>
  <si>
    <t>Absence of safety signages &amp; emergency contact numbers</t>
  </si>
  <si>
    <t>CGM-43</t>
  </si>
  <si>
    <t>Quarterly &amp; Monthly inspections due for the fire extinguisher</t>
  </si>
  <si>
    <t>CGM-46</t>
  </si>
  <si>
    <t>Flexway</t>
  </si>
  <si>
    <t>Two whiplash arrestors used on a single hose setup</t>
  </si>
  <si>
    <t>HSE-0234</t>
  </si>
  <si>
    <t>Damaged tires - TR-38</t>
  </si>
  <si>
    <t>Damaged tires - CGM 51</t>
  </si>
  <si>
    <t>Insufficient rear chassis ladder for reaching the CGM - 03</t>
  </si>
  <si>
    <t>TR-20</t>
  </si>
  <si>
    <t>No fire extinguisher TR-20</t>
  </si>
  <si>
    <t>TR-33</t>
  </si>
  <si>
    <t>Electrical and ABS connection platform in open condition TR-33</t>
  </si>
  <si>
    <t>Damaged front side truck fender TR-09</t>
  </si>
  <si>
    <t>CGM-78</t>
  </si>
  <si>
    <t xml:space="preserve">Unsafe condition - the improperly secured lever could detach and swing </t>
  </si>
  <si>
    <t>Fire water tank leakage</t>
  </si>
  <si>
    <t>HSE-0235</t>
  </si>
  <si>
    <t xml:space="preserve">CNG Refill post - Compress gases &amp; air/ Fire &amp; explosion-No Earthing System for both CNG post refill and CGM's parking.   </t>
  </si>
  <si>
    <t xml:space="preserve">CNG Refill post - Compress gases &amp; air/ Fire &amp; explosion-CNG refill post  incomplete pressure testing:                          </t>
  </si>
  <si>
    <t>Diesel Bay - Electrical &amp; fire Safety</t>
  </si>
  <si>
    <t>HSE-0236</t>
  </si>
  <si>
    <t>No use of appropriate of PPE's while working in PRMS</t>
  </si>
  <si>
    <t>CGM # 34 Temperature reader not functioning</t>
  </si>
  <si>
    <t>CGM# 34, Fire extinguisher handle found damaged..</t>
  </si>
  <si>
    <t>Main CNG decanting pipeline is contaminated with pigeon droppings.</t>
  </si>
  <si>
    <t>Express Pack Print</t>
  </si>
  <si>
    <t>PRMS CNG Pressure reader found expired.</t>
  </si>
  <si>
    <t>CGM# 51, left side tyre 4 &amp; 5 is damaged and have deep cuts.</t>
  </si>
  <si>
    <t>No availability of ATEX torch with the Driver while transporting gas</t>
  </si>
  <si>
    <t>HSE-0237</t>
  </si>
  <si>
    <t>CNG Dispenser 1 - Protective panel in open condition</t>
  </si>
  <si>
    <t>Metal with sharp edges installed at the base of CGM mounting ladder - CGM 46</t>
  </si>
  <si>
    <t>Tires observed with several cuts and tread wear - CGM 46</t>
  </si>
  <si>
    <t>Damaged insulations for ABS &amp; Electrical cables - TR 33</t>
  </si>
  <si>
    <t>Damaged  tail light - CGM 39</t>
  </si>
  <si>
    <t>HSE-0238</t>
  </si>
  <si>
    <t>PRMS Yard gate was left open</t>
  </si>
  <si>
    <t>Enerwhere</t>
  </si>
  <si>
    <t>It has been observed that the bollards installed in front of the PRMS was damaged by the truck &amp; bent</t>
  </si>
  <si>
    <t>Guage found to be dusted from inside &amp; unable to read the values</t>
  </si>
  <si>
    <t>Tire mudguard found to be damaged</t>
  </si>
  <si>
    <t xml:space="preserve">Power International </t>
  </si>
  <si>
    <t>Oil leak observed inside the PRMS</t>
  </si>
  <si>
    <t xml:space="preserve">Poor housekeeping observed inside &amp; outside PRMS. Combustible materials are found </t>
  </si>
  <si>
    <t>CGM-61</t>
  </si>
  <si>
    <t>Concrete blocks were placed for the height adjustment in truck landing gear</t>
  </si>
  <si>
    <t>Pipe &amp; other materials are stored in the PRMS Yard</t>
  </si>
  <si>
    <t>2nd Stage PRMS</t>
  </si>
  <si>
    <t>Exposed underground pipeline on road near vehicle movement area</t>
  </si>
  <si>
    <t>HSE-0239</t>
  </si>
  <si>
    <t>Untidy Decanting Panel and not well maintained, covered with spider webs, indicating a lack of regular cleaning and housekeeping.</t>
  </si>
  <si>
    <t>HSE-0240</t>
  </si>
  <si>
    <t xml:space="preserve">Poor housekeeping observed inside PRMS. Combustible materials are found </t>
  </si>
  <si>
    <t>No evidence of quarterly PPM for fire extinguishers</t>
  </si>
  <si>
    <t>Decanting Panel &amp; PRMS</t>
  </si>
  <si>
    <t>HSE-0241</t>
  </si>
  <si>
    <t>Worn or damaged windsock may fail to provide accurate wind-direction information during critical situations, such as gas-leak emergencies.</t>
  </si>
  <si>
    <t>CGM 16 third-section window (counting from the rear) lacks a proper locking mechanism, leaving the section valves and other CGM components exposed. A piece of cardboard has been inserted at the lower part of the window to tighten the temporary closure; however, it remains insecure, particularly during transit.</t>
  </si>
  <si>
    <t>The temperature indicator on CGM 21 is not functioning.Without an operational temperature indicator, overheating may go unnoticed, increasing the risk of equipment failure, fire, or thermal damage.</t>
  </si>
  <si>
    <t>The fire extinguisher box on CGM 21 lacks a proper locking mechanism. Currently, it is secured using a metal wire, indicating substandard quality and inadequate fastening of the device. Unauthorized Access or Tampering. Reduced Readiness in Emergencies. Regulatory and Compliance Issues</t>
  </si>
  <si>
    <t>CNG yard contains dried grass and other waste materials, which are combustible and flammable that pose a potential fire hazard.</t>
  </si>
  <si>
    <t>The drivers’ accommodation receiving area exhibits poor housekeeping and disorganized material storage. Personal kitchen items are improperly arranged, floors are untidy, and overall cleanliness is inadequate. Additionally, the area lacks a fire extinguisher, increasing the risk of health hazards and fire incidents.</t>
  </si>
  <si>
    <t>Al Faqqa</t>
  </si>
  <si>
    <t>HSE-0242</t>
  </si>
  <si>
    <t>Fire extinguisher missing from the required of  two in the 40ft container</t>
  </si>
  <si>
    <t>Empty bottles &amp; cans are found inside the PRMS</t>
  </si>
  <si>
    <t>Expired Calibration in LEL detectors</t>
  </si>
  <si>
    <t>1. Only 2 fire extinguishers are available in PRMS YARD. 
2. FE placed on the floor</t>
  </si>
  <si>
    <t>Guage readings are faded from inside &amp; unable to read the values</t>
  </si>
  <si>
    <t>Repeated Observation: Damaged wind sock</t>
  </si>
  <si>
    <t>Movable trolleys are being stacked temporary Infront of the PRMS</t>
  </si>
  <si>
    <t>HSE-0243</t>
  </si>
  <si>
    <t>Slips and falls hazard</t>
  </si>
  <si>
    <t>CGM-47</t>
  </si>
  <si>
    <t>Metal with sharp edges installed at the base of CGM mounting ladder - CGM-47 it Metal with sharp edges installed at the base of CGM mounting ladder - CGM-47</t>
  </si>
  <si>
    <t>No service record for the CO2 fire extinguisher in the PRMS yard. Additionally, the extingusher is light in weight - an indication of pressure loss</t>
  </si>
  <si>
    <t>Fire extinguishers tired to the fencing wires with cable tire - Difficult to access and utilize in the event of fire emergency</t>
  </si>
  <si>
    <t>Exposed electrical wiring/ electric shock/loss of braking control</t>
  </si>
  <si>
    <t>Defective Temperature guage. The gauge is not working</t>
  </si>
  <si>
    <t>HSE-0244</t>
  </si>
  <si>
    <t>Large amounts of flammable materials were scattered around the area, creating  unsafe working conditions.</t>
  </si>
  <si>
    <t>Emic Sajaa</t>
  </si>
  <si>
    <t>Unable to determine wind direction during gas leak or emergency situation.</t>
  </si>
  <si>
    <t>No emergency contact number of CEG personnel is displayed for the PRMS yard.</t>
  </si>
  <si>
    <t>HSE-0245</t>
  </si>
  <si>
    <t>1. Fire extinguisher box without a proper locking mechanism.</t>
  </si>
  <si>
    <t>1. PRMS system covered with accumulated dust.</t>
  </si>
  <si>
    <t>1. Chemicals (such as oils) stored inside the PRMS room without a drip tray or proper container. Strictly prohibit stocking any chemicals inside the PRMS room at all times.</t>
  </si>
  <si>
    <t>1. Safety signages in the CNG yard, including ‘No Smoking,’ ‘Restricted Area,’ emergency contact information, and other critical warnings, are completely faded and unreadable.</t>
  </si>
  <si>
    <t>1. PRMS system &amp; external piping covered with accumulated dust.</t>
  </si>
  <si>
    <t>HSE-0246</t>
  </si>
  <si>
    <t>Mechanical workshop</t>
  </si>
  <si>
    <t>1. The air compressor and its components are currently exposed without adequate protective caging or enclosure, allowing unrestricted access and posing potential safety risks.</t>
  </si>
  <si>
    <t>HSE-0247</t>
  </si>
  <si>
    <t>1. Fire and explosion hazard due to gas leakage
2. Equipment damage and operational interruption
3. Potential environmental impact due to gas leak.
4. Non-compliance with safety and maintenance standards.</t>
  </si>
  <si>
    <t xml:space="preserve">Inaccurate pressure reading and supply leads to overpressure or leaks </t>
  </si>
  <si>
    <t>Edible Oil</t>
  </si>
  <si>
    <t>Detector may provide inaccurate readings, leading to undetected gas leaks and compromised safety.</t>
  </si>
  <si>
    <t>Inaccurate or no temperature monitoring may lead to unsafe gas temperature during operation.</t>
  </si>
  <si>
    <t>Leakage appears to be occurring around the connection points, indicating possible loose fittings, worn-out seals, or inadequate maintenance.</t>
  </si>
  <si>
    <t>Fall hazard for CEG &amp; NPPF employees or visitors.</t>
  </si>
  <si>
    <t>Oil draining directly onto the ground surface, increasing contamination and fire risks.</t>
  </si>
  <si>
    <t xml:space="preserve">CGM Parking Area </t>
  </si>
  <si>
    <t>Vehicle instability during parking or movement and damage to landing gear shoes.</t>
  </si>
  <si>
    <t>HSE-0248</t>
  </si>
  <si>
    <t>Poor lighting reduces the trailer’s &amp; drivers visibility, especially at night or in low-light conditions.</t>
  </si>
  <si>
    <t>TR-36</t>
  </si>
  <si>
    <t>TR-34</t>
  </si>
  <si>
    <t>Inability for drivers to warn pedestrians or other vehicles/road users of the the presence of the truck or its movement when necessary</t>
  </si>
  <si>
    <t>Inadequate protection for the diesel and adblue tanks increasing the exposure of the tanks to impact from other vehicles. Asset damage</t>
  </si>
  <si>
    <t>TR-21</t>
  </si>
  <si>
    <t>Damaged lock for fire extinguisher box. Tied with a metal wire</t>
  </si>
  <si>
    <t>HSE-0249</t>
  </si>
  <si>
    <t>Dust accumulation can lead to equipment failure, reduced gas detection accuracy and corrosion.</t>
  </si>
  <si>
    <t xml:space="preserve">Decanting panel </t>
  </si>
  <si>
    <t>Mud accumulation can lead to equipment failure, reduced gas detection accuracy and corrosion.</t>
  </si>
  <si>
    <t>CGM #11 air balloon suspension found deflated, Reduced stability and braking efficiency during operation.</t>
  </si>
  <si>
    <t xml:space="preserve">Inaccurate pressure supply leading to overpressure or leaks </t>
  </si>
  <si>
    <t>HSE-0250</t>
  </si>
  <si>
    <t>Materials have been accumulated and stacked beside the CNG yard and near the TR access.</t>
  </si>
  <si>
    <t>HSE-0251</t>
  </si>
  <si>
    <t>CGM # 14, lower chassis module cover is detached</t>
  </si>
  <si>
    <t>CGM # 14 Temperature reader not functioning</t>
  </si>
  <si>
    <t>CGM # 14, Damaged Mudguard</t>
  </si>
  <si>
    <t>CGM # 13 Temperature reader not functioning</t>
  </si>
  <si>
    <t>HSE-0252</t>
  </si>
  <si>
    <t>Electrical socket cover damaged in truck chassis</t>
  </si>
  <si>
    <t>Cracks observed on high pressure decanting hose</t>
  </si>
  <si>
    <t>Fire Extinguishers are placed on the ground, Obstruction, tripping hazard, and potential damage to the extinguisher</t>
  </si>
  <si>
    <t>CGM external casing observed corroded &amp; broken</t>
  </si>
  <si>
    <t>Dust &amp; rainwater sedimented inside the PRMS instruments</t>
  </si>
  <si>
    <t>Outdated calibration in all the gauges &amp; hoses</t>
  </si>
  <si>
    <t>CGM-66</t>
  </si>
  <si>
    <t>Only one fire extinguisher available in the 40ft container</t>
  </si>
  <si>
    <t>CGM-88</t>
  </si>
  <si>
    <t>Fire extinguisher was found without monthly &amp; quarterly inspections</t>
  </si>
  <si>
    <t>FE placed on the floor</t>
  </si>
  <si>
    <t>Excessive calcium carbonated accumulated on the 2nd Stage PRMS</t>
  </si>
  <si>
    <t xml:space="preserve">Poor housekeeping observed outside PRMS. Combustible materials are found </t>
  </si>
  <si>
    <t>Falcon Pack UAQ</t>
  </si>
  <si>
    <t>Absence of drip tray for oil separator</t>
  </si>
  <si>
    <t>Pressurized gas cylinders are placed near to the fabrication area without securing in the trolleys</t>
  </si>
  <si>
    <t>Aspen Polystyrene UAQ</t>
  </si>
  <si>
    <t>HSE-0253</t>
  </si>
  <si>
    <t>3rd Stage PRMS</t>
  </si>
  <si>
    <t>3rd stage - PRS / Working at Height &amp; Emergency response.</t>
  </si>
  <si>
    <t>HSE-0254</t>
  </si>
  <si>
    <t xml:space="preserve">No hard barriers &amp; gates
No lights causing less illumination
No wind sock </t>
  </si>
  <si>
    <t xml:space="preserve">Poor housekeeping as empty cans combustible materials are found </t>
  </si>
  <si>
    <t>Gauges &amp; cable pipes are found rusty</t>
  </si>
  <si>
    <t>Damaged vehicle stop concrete barrier</t>
  </si>
  <si>
    <t>HSE-0255</t>
  </si>
  <si>
    <t>Container Van - Housekeeping &amp; Material arrangement.</t>
  </si>
  <si>
    <t>Container Van - Fire &amp; Explosion Hazards</t>
  </si>
  <si>
    <t>HSE-0256</t>
  </si>
  <si>
    <t>Compressor Station</t>
  </si>
  <si>
    <t>Calibrations of instrumentations in the compressor bay like LEL detectors, Flame Detectors, pressure guages &amp; pressure transmitters are overdue &amp; not complied with CEG Quality &amp; Safety Procedures</t>
  </si>
  <si>
    <t>Diesel Storage &amp; Dispenser station</t>
  </si>
  <si>
    <t>Absence of fire detection &amp; active fire protection (Currently portable fire extinguishers are available)</t>
  </si>
  <si>
    <t>HSE-0258</t>
  </si>
  <si>
    <t>The PRMS yard gate is detached from the wall and resting on the ground.</t>
  </si>
  <si>
    <t xml:space="preserve"> Flammable materials were scattered around the area, creating  unsafe working conditions.</t>
  </si>
  <si>
    <t>CGM # 47 Temperature reader not functioning</t>
  </si>
  <si>
    <t>PRMS CNG Pressure reader caliberation expired.</t>
  </si>
  <si>
    <t>PRMS Gas Detector  caliberation expired.</t>
  </si>
  <si>
    <t>HSE-0259</t>
  </si>
  <si>
    <t>1. The PRMS lock mechanism has been damaged, resulting in improper door closure.</t>
  </si>
  <si>
    <t>1. Damage was observed on the left-side mudguard of CGM No. 37, at the first rear tire position.</t>
  </si>
  <si>
    <t>CNG Yard - material arrangement &amp; Housekeeping -Good practices. Maintainin a minimum safe clearance of 20 meters from the front fence of the CNG yard for material storage, ensuring all materials stored along access routes are removed, and keep the area clear to allow safe maneuvering of 40-ft trailers entering and exiting the CNG yard.</t>
  </si>
  <si>
    <t>CGM-17</t>
  </si>
  <si>
    <t>1. Loose ABS brake airline connector.                                    - Air leakage from the braking system.
- Malfunction or failure of the ABS system.
- Reduced braking efficiency.
- Unexpected ABS warning alerts.
- Delayed brake response.</t>
  </si>
  <si>
    <t>1.Inadequate housekeeping in the CNG yard, with widespread presence of combustible materials.</t>
  </si>
  <si>
    <t>1. Poor lock mechanism observed. The damaged fire extinguisher (F.E.) box lock is tied with electrical cables, which may cause delayed access during an emergency.</t>
  </si>
  <si>
    <t>1. One internal earthing connection found detached from the section pipe.</t>
  </si>
  <si>
    <t>1.CNG Yard lacks proper safety signages, including CNG flammable, restricted area, no smoking, and CEG emergency contact numbers. Additionally, drivers did not place safety cone barriers in front of the CGM, leaving it open and unprotected.</t>
  </si>
  <si>
    <t>HSE-0260</t>
  </si>
  <si>
    <t>TR 05 - No stepping platform for air and electrical wires connection</t>
  </si>
  <si>
    <t>CGM-53</t>
  </si>
  <si>
    <t>CGM # 53, CNG tubing are rusty and corresive</t>
  </si>
  <si>
    <t>CGM # 06, Visible cracked chassis on both sides</t>
  </si>
  <si>
    <t>CGM # 46 Temperature reader not functioning</t>
  </si>
  <si>
    <t>Poor Houskeeping and no shoes rack to keep the footwear</t>
  </si>
  <si>
    <t>Al Faqqa Acoomodation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</si>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</sst>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7">
    <font>
      <sz val="11"/>
      <color theme="1"/>
      <name val="Calibri"/>
      <family val="2"/>
      <scheme val="minor"/>
    </font>
    <font>
      <b/>
      <sz val="11"/>
      <color theme="0"/>
      <name val="Calibri"/>
      <family val="2"/>
      <scheme val="minor"/>
    </font>
    <font>
      <sz val="11"/>
      <name val="Calibri"/>
      <family val="2"/>
      <scheme val="minor"/>
    </font>
    <font>
      <sz val="8"/>
      <name val="Calibri"/>
      <family val="2"/>
      <scheme val="minor"/>
    </font>
    <font>
      <b/>
      <sz val="16"/>
      <color theme="0"/>
      <name val="Calibri"/>
      <family val="2"/>
      <scheme val="minor"/>
    </font>
    <font>
      <i/>
      <sz val="11"/>
      <name val="Calibri"/>
      <family val="2"/>
      <scheme val="minor"/>
    </font>
    <font>
      <b/>
      <sz val="11"/>
      <color rgb="FFFF0000"/>
      <name val="Calibri"/>
      <family val="2"/>
      <scheme val="minor"/>
    </font>
  </fonts>
  <fills count="7">
    <fill>
      <patternFill patternType="none"/>
    </fill>
    <fill>
      <patternFill patternType="gray125"/>
    </fill>
    <fill>
      <patternFill patternType="solid">
        <fgColor theme="1" tint="0.14999847407452621"/>
        <bgColor indexed="64"/>
      </patternFill>
    </fill>
    <fill>
      <patternFill patternType="solid">
        <fgColor theme="1" tint="0.34998626667073579"/>
        <bgColor indexed="64"/>
      </patternFill>
    </fill>
    <fill>
      <patternFill patternType="solid">
        <fgColor rgb="FFFFFF00"/>
        <bgColor indexed="64"/>
      </patternFill>
    </fill>
    <fill>
      <patternFill patternType="solid">
        <fgColor theme="6" tint="0.59999389629810485"/>
        <bgColor theme="6" tint="0.59999389629810485"/>
      </patternFill>
    </fill>
    <fill>
      <patternFill patternType="solid">
        <fgColor theme="6" tint="0.79998168889431442"/>
        <bgColor theme="6" tint="0.79998168889431442"/>
      </patternFill>
    </fill>
  </fills>
  <borders count="8">
    <border>
      <left/>
      <right/>
      <top/>
      <bottom/>
      <diagonal/>
    </border>
    <border>
      <left style="thin">
        <color indexed="64"/>
      </left>
      <right/>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style="thin">
        <color theme="0"/>
      </left>
      <right/>
      <top style="thin">
        <color theme="0"/>
      </top>
      <bottom style="thin">
        <color theme="4" tint="0.39997558519241921"/>
      </bottom>
      <diagonal/>
    </border>
  </borders>
  <cellStyleXfs count="1">
    <xf numFmtId="0" fontId="0" fillId="0" borderId="0"/>
  </cellStyleXfs>
  <cellXfs count="36">
    <xf numFmtId="0" fontId="0" fillId="0" borderId="0" xfId="0"/>
    <xf numFmtId="0" fontId="2" fillId="0" borderId="0" xfId="0" applyFont="1" applyAlignment="1">
      <alignment vertical="center" wrapText="1"/>
    </xf>
    <xf numFmtId="0" fontId="2" fillId="0" borderId="0" xfId="0" applyFont="1" applyAlignment="1">
      <alignment horizontal="center" vertical="center" wrapText="1"/>
    </xf>
    <xf numFmtId="15" fontId="2" fillId="0" borderId="0" xfId="0" applyNumberFormat="1" applyFont="1" applyAlignment="1">
      <alignment horizontal="center" vertical="center" wrapText="1"/>
    </xf>
    <xf numFmtId="0" fontId="1" fillId="3" borderId="0" xfId="0" applyFont="1" applyFill="1" applyAlignment="1">
      <alignment horizontal="center" vertical="center" wrapText="1"/>
    </xf>
    <xf numFmtId="0" fontId="1" fillId="3" borderId="2" xfId="0"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4" xfId="0" applyFont="1" applyFill="1" applyBorder="1" applyAlignment="1">
      <alignment horizontal="left" vertical="center" wrapText="1"/>
    </xf>
    <xf numFmtId="15" fontId="2" fillId="5" borderId="4" xfId="0" applyNumberFormat="1" applyFont="1" applyFill="1" applyBorder="1" applyAlignment="1">
      <alignment horizontal="center" vertical="center" wrapText="1"/>
    </xf>
    <xf numFmtId="0" fontId="2" fillId="5" borderId="4" xfId="0" applyFont="1" applyFill="1" applyBorder="1" applyAlignment="1">
      <alignment vertical="center" wrapText="1"/>
    </xf>
    <xf numFmtId="0" fontId="2" fillId="6" borderId="5"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2" fillId="6" borderId="6" xfId="0" applyFont="1" applyFill="1" applyBorder="1" applyAlignment="1">
      <alignment horizontal="left" vertical="center" wrapText="1"/>
    </xf>
    <xf numFmtId="15" fontId="2" fillId="6" borderId="6" xfId="0" applyNumberFormat="1" applyFont="1" applyFill="1" applyBorder="1" applyAlignment="1">
      <alignment horizontal="center" vertical="center" wrapText="1"/>
    </xf>
    <xf numFmtId="0" fontId="2" fillId="6" borderId="6" xfId="0" applyFont="1" applyFill="1" applyBorder="1" applyAlignment="1">
      <alignment vertical="center" wrapText="1"/>
    </xf>
    <xf numFmtId="0" fontId="2" fillId="5" borderId="5"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6" xfId="0" applyFont="1" applyFill="1" applyBorder="1" applyAlignment="1">
      <alignment horizontal="left" vertical="center" wrapText="1"/>
    </xf>
    <xf numFmtId="15" fontId="2" fillId="5" borderId="6" xfId="0" applyNumberFormat="1" applyFont="1" applyFill="1" applyBorder="1" applyAlignment="1">
      <alignment horizontal="center" vertical="center" wrapText="1"/>
    </xf>
    <xf numFmtId="0" fontId="2" fillId="5" borderId="6" xfId="0" applyFont="1" applyFill="1" applyBorder="1" applyAlignment="1">
      <alignment vertical="center" wrapText="1"/>
    </xf>
    <xf numFmtId="0" fontId="2" fillId="4" borderId="6" xfId="0" applyFont="1" applyFill="1" applyBorder="1" applyAlignment="1">
      <alignment vertical="center" wrapText="1"/>
    </xf>
    <xf numFmtId="0" fontId="0" fillId="6" borderId="5" xfId="0" applyFill="1" applyBorder="1" applyAlignment="1">
      <alignment horizontal="center" vertical="center" wrapText="1"/>
    </xf>
    <xf numFmtId="0" fontId="6" fillId="5" borderId="6" xfId="0" applyFont="1" applyFill="1" applyBorder="1" applyAlignment="1">
      <alignment vertical="center" wrapText="1"/>
    </xf>
    <xf numFmtId="0" fontId="6" fillId="6" borderId="6" xfId="0" applyFont="1" applyFill="1" applyBorder="1" applyAlignment="1">
      <alignment vertical="center" wrapText="1"/>
    </xf>
    <xf numFmtId="164" fontId="2" fillId="6" borderId="6" xfId="0" applyNumberFormat="1"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6" borderId="0" xfId="0" applyFont="1" applyFill="1" applyAlignment="1">
      <alignment horizontal="center" vertical="center" wrapText="1"/>
    </xf>
    <xf numFmtId="0" fontId="2" fillId="6" borderId="2" xfId="0" applyFont="1" applyFill="1" applyBorder="1" applyAlignment="1">
      <alignment vertical="center" wrapText="1"/>
    </xf>
    <xf numFmtId="0" fontId="0" fillId="0" borderId="0" xfId="0" applyAlignment="1">
      <alignment horizontal="center" vertical="center" wrapText="1"/>
    </xf>
    <xf numFmtId="0" fontId="2" fillId="6" borderId="2" xfId="0" applyFont="1" applyFill="1" applyBorder="1" applyAlignment="1">
      <alignment horizontal="center" vertical="center" wrapText="1"/>
    </xf>
    <xf numFmtId="164" fontId="2" fillId="6" borderId="2"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0" xfId="0" applyFont="1" applyFill="1" applyAlignment="1">
      <alignment horizontal="center" vertical="center" wrapText="1"/>
    </xf>
  </cellXfs>
  <cellStyles count="1">
    <cellStyle name="Normal" xfId="0" builtinId="0"/>
  </cellStyles>
  <dxfs count="29">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general"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general" vertical="center" textRotation="0" wrapText="1" indent="0" justifyLastLine="0" shrinkToFit="0" readingOrder="0"/>
      <border diagonalUp="0" diagonalDown="0" outline="0">
        <left style="thin">
          <color theme="0"/>
        </left>
        <right/>
        <top/>
        <bottom/>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center"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general" vertical="center" textRotation="0" wrapText="1" indent="0" justifyLastLine="0" shrinkToFit="0" readingOrder="0"/>
      <border diagonalUp="0" diagonalDown="0" outline="0">
        <left style="thin">
          <color theme="0"/>
        </left>
        <right/>
        <top/>
        <bottom/>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center"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general" vertical="center" textRotation="0" wrapText="1" indent="0" justifyLastLine="0" shrinkToFit="0" readingOrder="0"/>
      <border diagonalUp="0" diagonalDown="0" outline="0">
        <left style="thin">
          <color theme="0"/>
        </left>
        <right/>
        <top/>
        <bottom/>
      </border>
    </dxf>
    <dxf>
      <font>
        <b val="0"/>
        <i val="0"/>
        <strike val="0"/>
        <condense val="0"/>
        <extend val="0"/>
        <outline val="0"/>
        <shadow val="0"/>
        <u val="none"/>
        <vertAlign val="baseline"/>
        <sz val="11"/>
        <color auto="1"/>
        <name val="Calibri"/>
        <family val="2"/>
        <scheme val="minor"/>
      </font>
      <numFmt numFmtId="164" formatCode="dd/mmm/yy"/>
      <fill>
        <patternFill patternType="solid">
          <fgColor theme="6" tint="0.79998168889431442"/>
          <bgColor theme="6" tint="0.79998168889431442"/>
        </patternFill>
      </fill>
      <alignment horizontal="center"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general" vertical="center" textRotation="0" wrapText="1" indent="0" justifyLastLine="0" shrinkToFit="0" readingOrder="0"/>
      <border diagonalUp="0" diagonalDown="0" outline="0">
        <left style="thin">
          <color theme="0"/>
        </left>
        <right/>
        <top/>
        <bottom/>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center"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general" vertical="center" textRotation="0" wrapText="1" indent="0" justifyLastLine="0" shrinkToFit="0" readingOrder="0"/>
      <border diagonalUp="0" diagonalDown="0" outline="0">
        <left style="thin">
          <color theme="0"/>
        </left>
        <right/>
        <top/>
        <bottom/>
      </border>
    </dxf>
    <dxf>
      <font>
        <b val="0"/>
        <i val="0"/>
        <strike val="0"/>
        <condense val="0"/>
        <extend val="0"/>
        <outline val="0"/>
        <shadow val="0"/>
        <u val="none"/>
        <vertAlign val="baseline"/>
        <sz val="11"/>
        <color auto="1"/>
        <name val="Calibri"/>
        <family val="2"/>
        <scheme val="minor"/>
      </font>
      <numFmt numFmtId="164" formatCode="dd/mmm/yy"/>
      <fill>
        <patternFill patternType="solid">
          <fgColor theme="6" tint="0.79998168889431442"/>
          <bgColor theme="6" tint="0.79998168889431442"/>
        </patternFill>
      </fill>
      <alignment horizontal="center"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general" vertical="center" textRotation="0" wrapText="1" indent="0" justifyLastLine="0" shrinkToFit="0" readingOrder="0"/>
      <border diagonalUp="0" diagonalDown="0" outline="0">
        <left style="thin">
          <color theme="0"/>
        </left>
        <right/>
        <top/>
        <bottom/>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center"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general" vertical="center" textRotation="0" wrapText="1" indent="0" justifyLastLine="0" shrinkToFit="0" readingOrder="0"/>
      <border diagonalUp="0" diagonalDown="0" outline="0">
        <left style="thin">
          <color theme="0"/>
        </left>
        <right/>
        <top/>
        <bottom/>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general"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general" vertical="center" textRotation="0" wrapText="1" indent="0" justifyLastLine="0" shrinkToFit="0" readingOrder="0"/>
      <border diagonalUp="0" diagonalDown="0" outline="0">
        <left style="thin">
          <color theme="0"/>
        </left>
        <right/>
        <top/>
        <bottom/>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center"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general" vertical="center" textRotation="0" wrapText="1" indent="0" justifyLastLine="0" shrinkToFit="0" readingOrder="0"/>
      <border diagonalUp="0" diagonalDown="0" outline="0">
        <left style="thin">
          <color theme="0"/>
        </left>
        <right/>
        <top/>
        <bottom/>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center"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general" vertical="center" textRotation="0" wrapText="1" indent="0" justifyLastLine="0" shrinkToFit="0" readingOrder="0"/>
      <border diagonalUp="0" diagonalDown="0" outline="0">
        <left style="thin">
          <color theme="0"/>
        </left>
        <right/>
        <top/>
        <bottom/>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center" vertical="center" textRotation="0" wrapText="1" indent="0" justifyLastLine="0" shrinkToFit="0" readingOrder="0"/>
      <border diagonalUp="0" diagonalDown="0">
        <left/>
        <right/>
        <top style="thin">
          <color theme="0"/>
        </top>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1" indent="0" justifyLastLine="0" shrinkToFit="0" readingOrder="0"/>
      <border diagonalUp="0" diagonalDown="0" outline="0">
        <left style="thin">
          <color theme="0"/>
        </left>
        <right style="thin">
          <color theme="0"/>
        </right>
        <top/>
        <bottom/>
      </border>
    </dxf>
    <dxf>
      <font>
        <color theme="7" tint="-0.499984740745262"/>
      </font>
      <fill>
        <patternFill>
          <bgColor rgb="FFFFE593"/>
        </patternFill>
      </fill>
    </dxf>
    <dxf>
      <font>
        <color rgb="FFC00000"/>
      </font>
      <fill>
        <patternFill>
          <bgColor rgb="FFFFB7B7"/>
        </patternFill>
      </fill>
    </dxf>
    <dxf>
      <font>
        <color rgb="FF006100"/>
      </font>
      <fill>
        <patternFill>
          <bgColor rgb="FFC6EFCE"/>
        </patternFill>
      </fill>
    </dxf>
    <dxf>
      <font>
        <color theme="5"/>
      </font>
      <fill>
        <patternFill>
          <bgColor theme="7" tint="0.79998168889431442"/>
        </patternFill>
      </fill>
    </dxf>
    <dxf>
      <font>
        <color rgb="FF9C0006"/>
      </font>
      <fill>
        <patternFill>
          <bgColor rgb="FFFFC7CE"/>
        </patternFill>
      </fill>
    </dxf>
  </dxfs>
  <tableStyles count="0" defaultTableStyle="TableStyleMedium2" defaultPivotStyle="PivotStyleLight16"/>
  <colors>
    <mruColors>
      <color rgb="FFFFE593"/>
      <color rgb="FFFFB7B7"/>
      <color rgb="FFFFD54F"/>
      <color rgb="FFFF7979"/>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3.xml"/><Relationship Id="rId10" Type="http://schemas.openxmlformats.org/officeDocument/2006/relationships/customXml" Target="../customXml/item1.xml"/><Relationship Id="rId4" Type="http://schemas.microsoft.com/office/2007/relationships/slicerCache" Target="slicerCaches/slicerCache2.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-3694245</xdr:colOff>
          <xdr:row>0</xdr:row>
          <xdr:rowOff>-149157</xdr:rowOff>
        </xdr:from>
        <xdr:to>
          <xdr:col>0</xdr:col>
          <xdr:colOff>-3694245</xdr:colOff>
          <xdr:row>0</xdr:row>
          <xdr:rowOff>-149157</xdr:rowOff>
        </xdr:to>
        <xdr:grpSp>
          <xdr:nvGrpSpPr>
            <xdr:cNvPr id="9" name="Group 7">
              <a:extLst>
                <a:ext uri="{FF2B5EF4-FFF2-40B4-BE49-F238E27FC236}">
                  <a16:creationId xmlns:a16="http://schemas.microsoft.com/office/drawing/2014/main" id="{121AA997-2ECE-466E-AE91-5E5F29D288BE}"/>
                </a:ext>
              </a:extLst>
            </xdr:cNvPr>
            <xdr:cNvGrpSpPr/>
          </xdr:nvGrpSpPr>
          <xdr:grpSpPr>
            <a:xfrm>
              <a:off x="-3694245" y="-149157"/>
              <a:ext cx="0" cy="0"/>
              <a:chOff x="-3694245" y="-149157"/>
              <a:chExt cx="0" cy="0"/>
            </a:xfrm>
          </xdr:grpSpPr>
          <xdr:grpSp>
            <xdr:nvGrpSpPr>
              <xdr:cNvPr id="10" name="Group 4">
                <a:extLst>
                  <a:ext uri="{FF2B5EF4-FFF2-40B4-BE49-F238E27FC236}">
                    <a16:creationId xmlns:a16="http://schemas.microsoft.com/office/drawing/2014/main" id="{B54A2DF3-DAC6-49DF-8DAA-C2F87A14B708}"/>
                  </a:ext>
                </a:extLst>
              </xdr:cNvPr>
              <xdr:cNvGrpSpPr/>
            </xdr:nvGrpSpPr>
            <xdr:grpSpPr>
              <a:xfrm>
                <a:off x="0" y="0"/>
                <a:ext cx="0" cy="0"/>
                <a:chOff x="0" y="0"/>
                <a:chExt cx="0" cy="0"/>
              </a:xfrm>
            </xdr:grpSpPr>
          </xdr:grpSp>
        </xdr:grpSp>
        <xdr:clientData/>
      </xdr:twoCellAnchor>
    </mc:Choice>
    <mc:Fallback/>
  </mc:AlternateContent>
  <xdr:twoCellAnchor editAs="absolute">
    <xdr:from>
      <xdr:col>11</xdr:col>
      <xdr:colOff>244551</xdr:colOff>
      <xdr:row>2</xdr:row>
      <xdr:rowOff>54176</xdr:rowOff>
    </xdr:from>
    <xdr:to>
      <xdr:col>18</xdr:col>
      <xdr:colOff>0</xdr:colOff>
      <xdr:row>5</xdr:row>
      <xdr:rowOff>189537</xdr:rowOff>
    </xdr:to>
    <mc:AlternateContent xmlns:mc="http://schemas.openxmlformats.org/markup-compatibility/2006" xmlns:sle15="http://schemas.microsoft.com/office/drawing/2012/slicer">
      <mc:Choice Requires="sle15">
        <xdr:graphicFrame macro="">
          <xdr:nvGraphicFramePr>
            <xdr:cNvPr id="3" name="Action By">
              <a:extLst>
                <a:ext uri="{FF2B5EF4-FFF2-40B4-BE49-F238E27FC236}">
                  <a16:creationId xmlns:a16="http://schemas.microsoft.com/office/drawing/2014/main" id="{02524D81-CEAB-1652-9AC4-D590CE758E9C}"/>
                </a:ext>
              </a:extLst>
            </xdr:cNvPr>
            <xdr:cNvGraphicFramePr/>
          </xdr:nvGraphicFramePr>
          <xdr:xfrm>
            <a:off x="0" y="0"/>
            <a:ext cx="0" cy="0"/>
          </xdr:xfrm>
          <a:graphic>
            <a:graphicData uri="http://schemas.microsoft.com/office/drawing/2010/slicer">
              <sle:slicer xmlns:sle="http://schemas.microsoft.com/office/drawing/2010/slicer" name="Action By"/>
            </a:graphicData>
          </a:graphic>
        </xdr:graphicFrame>
      </mc:Choice>
      <mc:Fallback xmlns="">
        <xdr:sp macro="" textlink="">
          <xdr:nvSpPr>
            <xdr:cNvPr id="0" name=""/>
            <xdr:cNvSpPr>
              <a:spLocks noTextEdit="1"/>
            </xdr:cNvSpPr>
          </xdr:nvSpPr>
          <xdr:spPr>
            <a:xfrm>
              <a:off x="15360726" y="435176"/>
              <a:ext cx="4022649" cy="792586"/>
            </a:xfrm>
            <a:prstGeom prst="rect">
              <a:avLst/>
            </a:prstGeom>
            <a:solidFill>
              <a:prstClr val="white"/>
            </a:solidFill>
            <a:ln w="1">
              <a:solidFill>
                <a:prstClr val="green"/>
              </a:solidFill>
            </a:ln>
          </xdr:spPr>
          <xdr:txBody>
            <a:bodyPr vertOverflow="clip" horzOverflow="clip"/>
            <a:lstStyle/>
            <a:p>
              <a:r>
                <a:rPr lang="en-A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244550</xdr:colOff>
      <xdr:row>6</xdr:row>
      <xdr:rowOff>85977</xdr:rowOff>
    </xdr:from>
    <xdr:to>
      <xdr:col>17</xdr:col>
      <xdr:colOff>609599</xdr:colOff>
      <xdr:row>10</xdr:row>
      <xdr:rowOff>3769</xdr:rowOff>
    </xdr:to>
    <mc:AlternateContent xmlns:mc="http://schemas.openxmlformats.org/markup-compatibility/2006" xmlns:sle15="http://schemas.microsoft.com/office/drawing/2012/slicer">
      <mc:Choice Requires="sle15">
        <xdr:graphicFrame macro="">
          <xdr:nvGraphicFramePr>
            <xdr:cNvPr id="4" name="Status">
              <a:extLst>
                <a:ext uri="{FF2B5EF4-FFF2-40B4-BE49-F238E27FC236}">
                  <a16:creationId xmlns:a16="http://schemas.microsoft.com/office/drawing/2014/main" id="{175EAC5C-110A-C5BA-E90F-A5B45DD6E7F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5356915" y="1720467"/>
              <a:ext cx="4026459" cy="712177"/>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244550</xdr:colOff>
      <xdr:row>10</xdr:row>
      <xdr:rowOff>1759</xdr:rowOff>
    </xdr:from>
    <xdr:to>
      <xdr:col>17</xdr:col>
      <xdr:colOff>609599</xdr:colOff>
      <xdr:row>32</xdr:row>
      <xdr:rowOff>158116</xdr:rowOff>
    </xdr:to>
    <mc:AlternateContent xmlns:mc="http://schemas.openxmlformats.org/markup-compatibility/2006" xmlns:sle15="http://schemas.microsoft.com/office/drawing/2012/slicer">
      <mc:Choice Requires="sle15">
        <xdr:graphicFrame macro="">
          <xdr:nvGraphicFramePr>
            <xdr:cNvPr id="5" name="Items">
              <a:extLst>
                <a:ext uri="{FF2B5EF4-FFF2-40B4-BE49-F238E27FC236}">
                  <a16:creationId xmlns:a16="http://schemas.microsoft.com/office/drawing/2014/main" id="{C91C07C9-08DD-9EB7-0727-4CF48B8F14E0}"/>
                </a:ext>
              </a:extLst>
            </xdr:cNvPr>
            <xdr:cNvGraphicFramePr/>
          </xdr:nvGraphicFramePr>
          <xdr:xfrm>
            <a:off x="0" y="0"/>
            <a:ext cx="0" cy="0"/>
          </xdr:xfrm>
          <a:graphic>
            <a:graphicData uri="http://schemas.microsoft.com/office/drawing/2010/slicer">
              <sle:slicer xmlns:sle="http://schemas.microsoft.com/office/drawing/2010/slicer" name="Items"/>
            </a:graphicData>
          </a:graphic>
        </xdr:graphicFrame>
      </mc:Choice>
      <mc:Fallback xmlns="">
        <xdr:sp macro="" textlink="">
          <xdr:nvSpPr>
            <xdr:cNvPr id="0" name=""/>
            <xdr:cNvSpPr>
              <a:spLocks noTextEdit="1"/>
            </xdr:cNvSpPr>
          </xdr:nvSpPr>
          <xdr:spPr>
            <a:xfrm>
              <a:off x="15356915" y="2527789"/>
              <a:ext cx="4026459" cy="10178562"/>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on_By" xr10:uid="{F023C4EE-6314-4C95-897D-6DB66DDDFAC8}" sourceName="Action By">
  <extLst>
    <x:ext xmlns:x15="http://schemas.microsoft.com/office/spreadsheetml/2010/11/main" uri="{2F2917AC-EB37-4324-AD4E-5DD8C200BD13}">
      <x15:tableSlicerCache tableId="2" column="9"/>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6063843-5BBB-409D-A37D-676557286BE4}" sourceName="Status">
  <extLst>
    <x:ext xmlns:x15="http://schemas.microsoft.com/office/spreadsheetml/2010/11/main" uri="{2F2917AC-EB37-4324-AD4E-5DD8C200BD13}">
      <x15:tableSlicerCache tableId="2" column="10"/>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s" xr10:uid="{8422295B-4177-4F39-BC13-B1DAF5624C4F}" sourceName="Items">
  <extLst>
    <x:ext xmlns:x15="http://schemas.microsoft.com/office/spreadsheetml/2010/11/main" uri="{2F2917AC-EB37-4324-AD4E-5DD8C200BD13}">
      <x15:tableSlicerCache tableId="2"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tion By" xr10:uid="{65060C4A-D2C0-442E-A0CA-A6615D20604F}" cache="Slicer_Action_By" caption="Action By" columnCount="3" style="SlicerStyleLight3" rowHeight="241300"/>
  <slicer name="Status" xr10:uid="{2D60C249-E8FF-4F2C-B3AA-F5C9915CB8F2}" cache="Slicer_Status" caption="Status" columnCount="2" style="SlicerStyleLight3" rowHeight="241300"/>
  <slicer name="Items" xr10:uid="{459BFF44-928E-49AF-966B-A8223BBB7219}" cache="Slicer_Items" caption="Items" columnCount="4"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D3C6AE-3B27-4597-B7C9-396D991CAB53}" name="Table2" displayName="Table2" ref="A5:K1131" totalsRowCount="1" headerRowDxfId="23" dataDxfId="22">
  <autoFilter ref="A5:K1130" xr:uid="{ACD3C6AE-3B27-4597-B7C9-396D991CAB53}"/>
  <tableColumns count="11">
    <tableColumn id="1" xr3:uid="{84FB9725-F872-4B1A-8F6C-B4F88D579FF0}" name="##" totalsRowLabel="Total" dataDxfId="20" totalsRowDxfId="21">
      <calculatedColumnFormula>_xlfn.AGGREGATE(3,1,$B4:B$6)</calculatedColumnFormula>
    </tableColumn>
    <tableColumn id="2" xr3:uid="{BA9D5C8E-60D1-408F-B1E5-33EE03BCE56C}" name="Inspection No" totalsRowFunction="count" dataDxfId="18" totalsRowDxfId="19"/>
    <tableColumn id="3" xr3:uid="{7F9D0DBB-7D19-470B-A334-AB12D9FECF54}" name="Items" totalsRowFunction="count" dataDxfId="16" totalsRowDxfId="17"/>
    <tableColumn id="4" xr3:uid="{A02A76AC-5945-4269-888E-07F67D5F16E4}" name="Description" totalsRowFunction="count" dataDxfId="14" totalsRowDxfId="15"/>
    <tableColumn id="5" xr3:uid="{152AF7EC-FFC7-4981-B27E-52BA2B6006C3}" name="Locations" totalsRowFunction="count" dataDxfId="12" totalsRowDxfId="13"/>
    <tableColumn id="6" xr3:uid="{DAA0DE96-917D-4416-8E5C-E06661CFBE98}" name="Inspection Date" totalsRowFunction="count" dataDxfId="10" totalsRowDxfId="11"/>
    <tableColumn id="7" xr3:uid="{7848E27D-FF97-48F0-9F75-6D6442C0136F}" name="Risk Level " totalsRowFunction="count" dataDxfId="8" totalsRowDxfId="9"/>
    <tableColumn id="8" xr3:uid="{BC8D1A7A-52CE-40DD-9DEA-69C81263AE11}" name="Due Date" totalsRowFunction="count" dataDxfId="6" totalsRowDxfId="7"/>
    <tableColumn id="9" xr3:uid="{D9E8CD1D-DCFB-4E21-A450-38DA1B92823B}" name="Action By" totalsRowFunction="count" dataDxfId="4" totalsRowDxfId="5"/>
    <tableColumn id="10" xr3:uid="{E26865BB-405D-40B2-81B8-B5BAB1DB7109}" name="Status" totalsRowFunction="count" dataDxfId="2" totalsRowDxfId="3"/>
    <tableColumn id="11" xr3:uid="{E4BEFFC8-C243-4F3F-8575-49AD3E6077CE}" name="Remarks" totalsRowFunction="count" dataDxfId="0" totalsRow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0F8FE-7A92-4E16-9010-B96D23313EF7}">
  <sheetPr>
    <pageSetUpPr fitToPage="1"/>
  </sheetPr>
  <dimension ref="A1:M1131"/>
  <sheetViews>
    <sheetView showGridLines="0" tabSelected="1" topLeftCell="A973" zoomScaleNormal="100" workbookViewId="0">
      <selection activeCell="J987" sqref="J987"/>
    </sheetView>
  </sheetViews>
  <sheetFormatPr defaultColWidth="9.140625" defaultRowHeight="14.45"/>
  <cols>
    <col min="1" max="1" width="6" style="2" customWidth="1"/>
    <col min="2" max="2" width="14.85546875" style="2" customWidth="1"/>
    <col min="3" max="3" width="14.5703125" style="2" customWidth="1"/>
    <col min="4" max="4" width="30.85546875" style="1" customWidth="1"/>
    <col min="5" max="5" width="21.5703125" style="2" customWidth="1"/>
    <col min="6" max="6" width="21.5703125" style="3" customWidth="1"/>
    <col min="7" max="7" width="21.5703125" style="2" customWidth="1"/>
    <col min="8" max="8" width="21.5703125" style="1" customWidth="1"/>
    <col min="9" max="9" width="21.5703125" style="2" customWidth="1"/>
    <col min="10" max="10" width="21.5703125" style="1" customWidth="1"/>
    <col min="11" max="11" width="31" style="2" customWidth="1"/>
    <col min="12" max="16384" width="9.140625" style="1"/>
  </cols>
  <sheetData>
    <row r="1" spans="1:11">
      <c r="K1" s="2">
        <f>Table2[[#Totals],[Remarks]]</f>
        <v>236</v>
      </c>
    </row>
    <row r="2" spans="1:11">
      <c r="K2" s="31"/>
    </row>
    <row r="4" spans="1:11" ht="21">
      <c r="A4" s="34" t="s">
        <v>0</v>
      </c>
      <c r="B4" s="35"/>
      <c r="C4" s="35"/>
      <c r="D4" s="35"/>
      <c r="E4" s="35"/>
      <c r="F4" s="35"/>
      <c r="G4" s="35"/>
      <c r="H4" s="35"/>
      <c r="I4" s="35"/>
      <c r="J4" s="35"/>
      <c r="K4" s="35"/>
    </row>
    <row r="5" spans="1:11" ht="15" thickBot="1">
      <c r="A5" s="4" t="s">
        <v>1</v>
      </c>
      <c r="B5" s="5" t="s">
        <v>2</v>
      </c>
      <c r="C5" s="5" t="s">
        <v>3</v>
      </c>
      <c r="D5" s="5" t="s">
        <v>4</v>
      </c>
      <c r="E5" s="5" t="s">
        <v>5</v>
      </c>
      <c r="F5" s="6" t="s">
        <v>6</v>
      </c>
      <c r="G5" s="5" t="s">
        <v>7</v>
      </c>
      <c r="H5" s="5" t="s">
        <v>8</v>
      </c>
      <c r="I5" s="5" t="s">
        <v>9</v>
      </c>
      <c r="J5" s="5" t="s">
        <v>10</v>
      </c>
      <c r="K5" s="5" t="s">
        <v>11</v>
      </c>
    </row>
    <row r="6" spans="1:11" ht="15" thickTop="1">
      <c r="A6" s="7">
        <f>_xlfn.AGGREGATE(3,1,$B$6:B6)</f>
        <v>1</v>
      </c>
      <c r="B6" s="8" t="s">
        <v>12</v>
      </c>
      <c r="C6" s="8" t="s">
        <v>13</v>
      </c>
      <c r="D6" s="9" t="s">
        <v>14</v>
      </c>
      <c r="E6" s="8" t="s">
        <v>15</v>
      </c>
      <c r="F6" s="10">
        <v>44565</v>
      </c>
      <c r="G6" s="8" t="s">
        <v>16</v>
      </c>
      <c r="H6" s="10">
        <v>44579</v>
      </c>
      <c r="I6" s="8" t="s">
        <v>17</v>
      </c>
      <c r="J6" s="8" t="s">
        <v>18</v>
      </c>
      <c r="K6" s="11"/>
    </row>
    <row r="7" spans="1:11" ht="28.9">
      <c r="A7" s="12">
        <f>_xlfn.AGGREGATE(3,1,$B$6:B7)</f>
        <v>2</v>
      </c>
      <c r="B7" s="13" t="s">
        <v>12</v>
      </c>
      <c r="C7" s="13" t="s">
        <v>13</v>
      </c>
      <c r="D7" s="14" t="s">
        <v>19</v>
      </c>
      <c r="E7" s="13" t="s">
        <v>15</v>
      </c>
      <c r="F7" s="15">
        <v>44565</v>
      </c>
      <c r="G7" s="13" t="s">
        <v>20</v>
      </c>
      <c r="H7" s="15">
        <v>44579</v>
      </c>
      <c r="I7" s="13" t="s">
        <v>17</v>
      </c>
      <c r="J7" s="13" t="s">
        <v>18</v>
      </c>
      <c r="K7" s="16"/>
    </row>
    <row r="8" spans="1:11">
      <c r="A8" s="17">
        <f>_xlfn.AGGREGATE(3,1,$B$6:B8)</f>
        <v>3</v>
      </c>
      <c r="B8" s="18" t="s">
        <v>12</v>
      </c>
      <c r="C8" s="18" t="s">
        <v>21</v>
      </c>
      <c r="D8" s="19" t="s">
        <v>22</v>
      </c>
      <c r="E8" s="18" t="s">
        <v>15</v>
      </c>
      <c r="F8" s="20">
        <v>44565</v>
      </c>
      <c r="G8" s="18" t="s">
        <v>16</v>
      </c>
      <c r="H8" s="20">
        <v>44579</v>
      </c>
      <c r="I8" s="18" t="s">
        <v>17</v>
      </c>
      <c r="J8" s="18" t="s">
        <v>18</v>
      </c>
      <c r="K8" s="21"/>
    </row>
    <row r="9" spans="1:11" ht="28.9">
      <c r="A9" s="12">
        <f>_xlfn.AGGREGATE(3,1,$B$6:B9)</f>
        <v>4</v>
      </c>
      <c r="B9" s="13" t="s">
        <v>12</v>
      </c>
      <c r="C9" s="13" t="s">
        <v>23</v>
      </c>
      <c r="D9" s="14" t="s">
        <v>24</v>
      </c>
      <c r="E9" s="13" t="s">
        <v>15</v>
      </c>
      <c r="F9" s="15">
        <v>44565</v>
      </c>
      <c r="G9" s="13" t="s">
        <v>16</v>
      </c>
      <c r="H9" s="15">
        <v>44592</v>
      </c>
      <c r="I9" s="13" t="s">
        <v>17</v>
      </c>
      <c r="J9" s="13" t="s">
        <v>18</v>
      </c>
      <c r="K9" s="16"/>
    </row>
    <row r="10" spans="1:11" ht="28.9">
      <c r="A10" s="17">
        <f>_xlfn.AGGREGATE(3,1,$B$6:B10)</f>
        <v>5</v>
      </c>
      <c r="B10" s="18" t="s">
        <v>12</v>
      </c>
      <c r="C10" s="18" t="s">
        <v>13</v>
      </c>
      <c r="D10" s="19" t="s">
        <v>25</v>
      </c>
      <c r="E10" s="18" t="s">
        <v>15</v>
      </c>
      <c r="F10" s="20">
        <v>44565</v>
      </c>
      <c r="G10" s="18" t="s">
        <v>16</v>
      </c>
      <c r="H10" s="20">
        <v>44572</v>
      </c>
      <c r="I10" s="18" t="s">
        <v>26</v>
      </c>
      <c r="J10" s="18" t="s">
        <v>18</v>
      </c>
      <c r="K10" s="18"/>
    </row>
    <row r="11" spans="1:11" ht="28.9">
      <c r="A11" s="12">
        <f>_xlfn.AGGREGATE(3,1,$B$6:B11)</f>
        <v>6</v>
      </c>
      <c r="B11" s="13" t="s">
        <v>27</v>
      </c>
      <c r="C11" s="13" t="s">
        <v>28</v>
      </c>
      <c r="D11" s="16" t="s">
        <v>29</v>
      </c>
      <c r="E11" s="13" t="s">
        <v>30</v>
      </c>
      <c r="F11" s="15">
        <v>44575</v>
      </c>
      <c r="G11" s="13" t="s">
        <v>16</v>
      </c>
      <c r="H11" s="15">
        <v>44589</v>
      </c>
      <c r="I11" s="13" t="s">
        <v>17</v>
      </c>
      <c r="J11" s="13" t="s">
        <v>18</v>
      </c>
      <c r="K11" s="16"/>
    </row>
    <row r="12" spans="1:11" ht="28.9">
      <c r="A12" s="17">
        <f>_xlfn.AGGREGATE(3,1,$B$6:B12)</f>
        <v>7</v>
      </c>
      <c r="B12" s="18" t="s">
        <v>27</v>
      </c>
      <c r="C12" s="18" t="s">
        <v>21</v>
      </c>
      <c r="D12" s="21" t="s">
        <v>31</v>
      </c>
      <c r="E12" s="18" t="s">
        <v>15</v>
      </c>
      <c r="F12" s="20">
        <v>44575</v>
      </c>
      <c r="G12" s="18" t="s">
        <v>20</v>
      </c>
      <c r="H12" s="20">
        <v>44620</v>
      </c>
      <c r="I12" s="18" t="s">
        <v>17</v>
      </c>
      <c r="J12" s="18" t="s">
        <v>18</v>
      </c>
      <c r="K12" s="21"/>
    </row>
    <row r="13" spans="1:11" ht="28.9">
      <c r="A13" s="12">
        <f>_xlfn.AGGREGATE(3,1,$B$6:B13)</f>
        <v>8</v>
      </c>
      <c r="B13" s="13" t="s">
        <v>27</v>
      </c>
      <c r="C13" s="13" t="s">
        <v>13</v>
      </c>
      <c r="D13" s="16" t="s">
        <v>32</v>
      </c>
      <c r="E13" s="13" t="s">
        <v>15</v>
      </c>
      <c r="F13" s="15">
        <v>44575</v>
      </c>
      <c r="G13" s="13" t="s">
        <v>16</v>
      </c>
      <c r="H13" s="15">
        <v>44576</v>
      </c>
      <c r="I13" s="13" t="s">
        <v>17</v>
      </c>
      <c r="J13" s="13" t="s">
        <v>18</v>
      </c>
      <c r="K13" s="16"/>
    </row>
    <row r="14" spans="1:11">
      <c r="A14" s="17">
        <f>_xlfn.AGGREGATE(3,1,$B$6:B14)</f>
        <v>9</v>
      </c>
      <c r="B14" s="18" t="s">
        <v>27</v>
      </c>
      <c r="C14" s="18" t="s">
        <v>33</v>
      </c>
      <c r="D14" s="21" t="s">
        <v>14</v>
      </c>
      <c r="E14" s="18" t="s">
        <v>15</v>
      </c>
      <c r="F14" s="20">
        <v>44575</v>
      </c>
      <c r="G14" s="18" t="s">
        <v>16</v>
      </c>
      <c r="H14" s="20">
        <v>44589</v>
      </c>
      <c r="I14" s="18" t="s">
        <v>17</v>
      </c>
      <c r="J14" s="18" t="s">
        <v>18</v>
      </c>
      <c r="K14" s="21"/>
    </row>
    <row r="15" spans="1:11" ht="28.9">
      <c r="A15" s="12">
        <f>_xlfn.AGGREGATE(3,1,$B$6:B15)</f>
        <v>10</v>
      </c>
      <c r="B15" s="13" t="s">
        <v>34</v>
      </c>
      <c r="C15" s="13" t="s">
        <v>35</v>
      </c>
      <c r="D15" s="16" t="s">
        <v>24</v>
      </c>
      <c r="E15" s="13" t="s">
        <v>36</v>
      </c>
      <c r="F15" s="15">
        <v>44579</v>
      </c>
      <c r="G15" s="13" t="s">
        <v>16</v>
      </c>
      <c r="H15" s="15">
        <v>44593</v>
      </c>
      <c r="I15" s="13" t="s">
        <v>17</v>
      </c>
      <c r="J15" s="13" t="s">
        <v>18</v>
      </c>
      <c r="K15" s="16"/>
    </row>
    <row r="16" spans="1:11" ht="28.9">
      <c r="A16" s="17">
        <f>_xlfn.AGGREGATE(3,1,$B$6:B16)</f>
        <v>11</v>
      </c>
      <c r="B16" s="18" t="s">
        <v>34</v>
      </c>
      <c r="C16" s="18" t="s">
        <v>37</v>
      </c>
      <c r="D16" s="21" t="s">
        <v>31</v>
      </c>
      <c r="E16" s="18" t="s">
        <v>38</v>
      </c>
      <c r="F16" s="20">
        <v>44579</v>
      </c>
      <c r="G16" s="18" t="s">
        <v>20</v>
      </c>
      <c r="H16" s="20">
        <v>44620</v>
      </c>
      <c r="I16" s="18" t="s">
        <v>17</v>
      </c>
      <c r="J16" s="18" t="s">
        <v>18</v>
      </c>
      <c r="K16" s="21"/>
    </row>
    <row r="17" spans="1:11" ht="28.9">
      <c r="A17" s="12">
        <f>_xlfn.AGGREGATE(3,1,$B$6:B17)</f>
        <v>12</v>
      </c>
      <c r="B17" s="13" t="s">
        <v>34</v>
      </c>
      <c r="C17" s="13" t="s">
        <v>37</v>
      </c>
      <c r="D17" s="16" t="s">
        <v>39</v>
      </c>
      <c r="E17" s="13" t="s">
        <v>38</v>
      </c>
      <c r="F17" s="15">
        <v>44579</v>
      </c>
      <c r="G17" s="13" t="s">
        <v>16</v>
      </c>
      <c r="H17" s="15">
        <v>44593</v>
      </c>
      <c r="I17" s="13" t="s">
        <v>17</v>
      </c>
      <c r="J17" s="13" t="s">
        <v>18</v>
      </c>
      <c r="K17" s="16"/>
    </row>
    <row r="18" spans="1:11">
      <c r="A18" s="17">
        <f>_xlfn.AGGREGATE(3,1,$B$6:B18)</f>
        <v>13</v>
      </c>
      <c r="B18" s="18" t="s">
        <v>34</v>
      </c>
      <c r="C18" s="18" t="s">
        <v>40</v>
      </c>
      <c r="D18" s="21" t="s">
        <v>41</v>
      </c>
      <c r="E18" s="18" t="s">
        <v>42</v>
      </c>
      <c r="F18" s="20">
        <v>44579</v>
      </c>
      <c r="G18" s="18" t="s">
        <v>16</v>
      </c>
      <c r="H18" s="20">
        <v>44581</v>
      </c>
      <c r="I18" s="18" t="s">
        <v>17</v>
      </c>
      <c r="J18" s="18" t="s">
        <v>18</v>
      </c>
      <c r="K18" s="21"/>
    </row>
    <row r="19" spans="1:11">
      <c r="A19" s="12">
        <f>_xlfn.AGGREGATE(3,1,$B$6:B19)</f>
        <v>14</v>
      </c>
      <c r="B19" s="13" t="s">
        <v>34</v>
      </c>
      <c r="C19" s="13" t="s">
        <v>43</v>
      </c>
      <c r="D19" s="16" t="s">
        <v>44</v>
      </c>
      <c r="E19" s="13" t="s">
        <v>42</v>
      </c>
      <c r="F19" s="15">
        <v>44579</v>
      </c>
      <c r="G19" s="13" t="s">
        <v>16</v>
      </c>
      <c r="H19" s="15">
        <v>44593</v>
      </c>
      <c r="I19" s="13" t="s">
        <v>17</v>
      </c>
      <c r="J19" s="13" t="s">
        <v>18</v>
      </c>
      <c r="K19" s="16"/>
    </row>
    <row r="20" spans="1:11" ht="28.9">
      <c r="A20" s="17">
        <f>_xlfn.AGGREGATE(3,1,$B$6:B20)</f>
        <v>15</v>
      </c>
      <c r="B20" s="18" t="s">
        <v>34</v>
      </c>
      <c r="C20" s="18" t="s">
        <v>45</v>
      </c>
      <c r="D20" s="21" t="s">
        <v>46</v>
      </c>
      <c r="E20" s="18" t="s">
        <v>36</v>
      </c>
      <c r="F20" s="20">
        <v>44579</v>
      </c>
      <c r="G20" s="18" t="s">
        <v>16</v>
      </c>
      <c r="H20" s="20">
        <v>44586</v>
      </c>
      <c r="I20" s="18" t="s">
        <v>26</v>
      </c>
      <c r="J20" s="18" t="s">
        <v>18</v>
      </c>
      <c r="K20" s="18"/>
    </row>
    <row r="21" spans="1:11" ht="28.9">
      <c r="A21" s="12">
        <f>_xlfn.AGGREGATE(3,1,$B$6:B21)</f>
        <v>16</v>
      </c>
      <c r="B21" s="13" t="s">
        <v>34</v>
      </c>
      <c r="C21" s="13" t="s">
        <v>47</v>
      </c>
      <c r="D21" s="16" t="s">
        <v>48</v>
      </c>
      <c r="E21" s="13" t="s">
        <v>36</v>
      </c>
      <c r="F21" s="15">
        <v>44579</v>
      </c>
      <c r="G21" s="13" t="s">
        <v>16</v>
      </c>
      <c r="H21" s="15">
        <v>44581</v>
      </c>
      <c r="I21" s="13" t="s">
        <v>26</v>
      </c>
      <c r="J21" s="13" t="s">
        <v>18</v>
      </c>
      <c r="K21" s="13"/>
    </row>
    <row r="22" spans="1:11" ht="28.9">
      <c r="A22" s="17">
        <f>_xlfn.AGGREGATE(3,1,$B$6:B22)</f>
        <v>17</v>
      </c>
      <c r="B22" s="18" t="s">
        <v>49</v>
      </c>
      <c r="C22" s="18" t="s">
        <v>50</v>
      </c>
      <c r="D22" s="21" t="s">
        <v>51</v>
      </c>
      <c r="E22" s="18" t="s">
        <v>52</v>
      </c>
      <c r="F22" s="20">
        <v>44580</v>
      </c>
      <c r="G22" s="18" t="s">
        <v>16</v>
      </c>
      <c r="H22" s="20"/>
      <c r="I22" s="18" t="s">
        <v>17</v>
      </c>
      <c r="J22" s="18" t="s">
        <v>18</v>
      </c>
      <c r="K22" s="21"/>
    </row>
    <row r="23" spans="1:11" ht="28.9">
      <c r="A23" s="12">
        <f>_xlfn.AGGREGATE(3,1,$B$6:B23)</f>
        <v>18</v>
      </c>
      <c r="B23" s="13" t="s">
        <v>49</v>
      </c>
      <c r="C23" s="13" t="s">
        <v>50</v>
      </c>
      <c r="D23" s="16" t="s">
        <v>53</v>
      </c>
      <c r="E23" s="13" t="s">
        <v>52</v>
      </c>
      <c r="F23" s="15">
        <v>44580</v>
      </c>
      <c r="G23" s="13" t="s">
        <v>16</v>
      </c>
      <c r="H23" s="15"/>
      <c r="I23" s="13" t="s">
        <v>17</v>
      </c>
      <c r="J23" s="13" t="s">
        <v>18</v>
      </c>
      <c r="K23" s="16"/>
    </row>
    <row r="24" spans="1:11" ht="28.9">
      <c r="A24" s="17">
        <f>_xlfn.AGGREGATE(3,1,$B$6:B24)</f>
        <v>19</v>
      </c>
      <c r="B24" s="18" t="s">
        <v>49</v>
      </c>
      <c r="C24" s="18" t="s">
        <v>50</v>
      </c>
      <c r="D24" s="21" t="s">
        <v>54</v>
      </c>
      <c r="E24" s="18" t="s">
        <v>52</v>
      </c>
      <c r="F24" s="20">
        <v>44580</v>
      </c>
      <c r="G24" s="18" t="s">
        <v>16</v>
      </c>
      <c r="H24" s="20">
        <v>44581</v>
      </c>
      <c r="I24" s="18" t="s">
        <v>26</v>
      </c>
      <c r="J24" s="18" t="s">
        <v>18</v>
      </c>
      <c r="K24" s="18"/>
    </row>
    <row r="25" spans="1:11" ht="28.9">
      <c r="A25" s="12">
        <f>_xlfn.AGGREGATE(3,1,$B$6:B25)</f>
        <v>20</v>
      </c>
      <c r="B25" s="13" t="s">
        <v>49</v>
      </c>
      <c r="C25" s="13" t="s">
        <v>47</v>
      </c>
      <c r="D25" s="16" t="s">
        <v>55</v>
      </c>
      <c r="E25" s="13" t="s">
        <v>56</v>
      </c>
      <c r="F25" s="15">
        <v>44580</v>
      </c>
      <c r="G25" s="13" t="s">
        <v>16</v>
      </c>
      <c r="H25" s="15">
        <v>44581</v>
      </c>
      <c r="I25" s="13" t="s">
        <v>26</v>
      </c>
      <c r="J25" s="13" t="s">
        <v>18</v>
      </c>
      <c r="K25" s="13"/>
    </row>
    <row r="26" spans="1:11" ht="28.9">
      <c r="A26" s="17">
        <f>_xlfn.AGGREGATE(3,1,$B$6:B26)</f>
        <v>21</v>
      </c>
      <c r="B26" s="18" t="s">
        <v>57</v>
      </c>
      <c r="C26" s="18" t="s">
        <v>23</v>
      </c>
      <c r="D26" s="21" t="s">
        <v>31</v>
      </c>
      <c r="E26" s="18" t="s">
        <v>15</v>
      </c>
      <c r="F26" s="20">
        <v>44582</v>
      </c>
      <c r="G26" s="18" t="s">
        <v>20</v>
      </c>
      <c r="H26" s="20"/>
      <c r="I26" s="18" t="s">
        <v>17</v>
      </c>
      <c r="J26" s="18" t="s">
        <v>18</v>
      </c>
      <c r="K26" s="21"/>
    </row>
    <row r="27" spans="1:11">
      <c r="A27" s="12">
        <f>_xlfn.AGGREGATE(3,1,$B$6:B27)</f>
        <v>22</v>
      </c>
      <c r="B27" s="13" t="s">
        <v>57</v>
      </c>
      <c r="C27" s="13" t="s">
        <v>23</v>
      </c>
      <c r="D27" s="16" t="s">
        <v>58</v>
      </c>
      <c r="E27" s="13" t="s">
        <v>15</v>
      </c>
      <c r="F27" s="15">
        <v>44582</v>
      </c>
      <c r="G27" s="13" t="s">
        <v>16</v>
      </c>
      <c r="H27" s="15"/>
      <c r="I27" s="13" t="s">
        <v>17</v>
      </c>
      <c r="J27" s="13" t="s">
        <v>18</v>
      </c>
      <c r="K27" s="16"/>
    </row>
    <row r="28" spans="1:11">
      <c r="A28" s="17">
        <f>_xlfn.AGGREGATE(3,1,$B$6:B28)</f>
        <v>23</v>
      </c>
      <c r="B28" s="18" t="s">
        <v>57</v>
      </c>
      <c r="C28" s="18" t="s">
        <v>23</v>
      </c>
      <c r="D28" s="21" t="s">
        <v>44</v>
      </c>
      <c r="E28" s="18" t="s">
        <v>15</v>
      </c>
      <c r="F28" s="20">
        <v>44582</v>
      </c>
      <c r="G28" s="18" t="s">
        <v>16</v>
      </c>
      <c r="H28" s="20"/>
      <c r="I28" s="18" t="s">
        <v>17</v>
      </c>
      <c r="J28" s="18" t="s">
        <v>18</v>
      </c>
      <c r="K28" s="21"/>
    </row>
    <row r="29" spans="1:11">
      <c r="A29" s="12">
        <f>_xlfn.AGGREGATE(3,1,$B$6:B29)</f>
        <v>24</v>
      </c>
      <c r="B29" s="13" t="s">
        <v>59</v>
      </c>
      <c r="C29" s="13" t="s">
        <v>47</v>
      </c>
      <c r="D29" s="16" t="s">
        <v>60</v>
      </c>
      <c r="E29" s="13" t="s">
        <v>61</v>
      </c>
      <c r="F29" s="15">
        <v>44594</v>
      </c>
      <c r="G29" s="13" t="s">
        <v>16</v>
      </c>
      <c r="H29" s="15"/>
      <c r="I29" s="13" t="s">
        <v>62</v>
      </c>
      <c r="J29" s="13" t="s">
        <v>18</v>
      </c>
      <c r="K29" s="13"/>
    </row>
    <row r="30" spans="1:11">
      <c r="A30" s="17">
        <f>_xlfn.AGGREGATE(3,1,$B$6:B30)</f>
        <v>25</v>
      </c>
      <c r="B30" s="18" t="s">
        <v>59</v>
      </c>
      <c r="C30" s="18" t="s">
        <v>63</v>
      </c>
      <c r="D30" s="21" t="s">
        <v>64</v>
      </c>
      <c r="E30" s="18" t="s">
        <v>65</v>
      </c>
      <c r="F30" s="20">
        <v>44594</v>
      </c>
      <c r="G30" s="18" t="s">
        <v>20</v>
      </c>
      <c r="H30" s="20"/>
      <c r="I30" s="18" t="s">
        <v>17</v>
      </c>
      <c r="J30" s="18" t="s">
        <v>18</v>
      </c>
      <c r="K30" s="21"/>
    </row>
    <row r="31" spans="1:11" ht="28.9">
      <c r="A31" s="12">
        <f>_xlfn.AGGREGATE(3,1,$B$6:B31)</f>
        <v>26</v>
      </c>
      <c r="B31" s="13" t="s">
        <v>59</v>
      </c>
      <c r="C31" s="13" t="s">
        <v>66</v>
      </c>
      <c r="D31" s="16" t="s">
        <v>67</v>
      </c>
      <c r="E31" s="13" t="s">
        <v>65</v>
      </c>
      <c r="F31" s="15">
        <v>44594</v>
      </c>
      <c r="G31" s="13" t="s">
        <v>20</v>
      </c>
      <c r="H31" s="15"/>
      <c r="I31" s="13" t="s">
        <v>17</v>
      </c>
      <c r="J31" s="13" t="s">
        <v>18</v>
      </c>
      <c r="K31" s="16"/>
    </row>
    <row r="32" spans="1:11" ht="28.9">
      <c r="A32" s="17">
        <f>_xlfn.AGGREGATE(3,1,$B$6:B32)</f>
        <v>27</v>
      </c>
      <c r="B32" s="18" t="s">
        <v>59</v>
      </c>
      <c r="C32" s="18" t="s">
        <v>47</v>
      </c>
      <c r="D32" s="21" t="s">
        <v>68</v>
      </c>
      <c r="E32" s="18" t="s">
        <v>69</v>
      </c>
      <c r="F32" s="20">
        <v>44594</v>
      </c>
      <c r="G32" s="18" t="s">
        <v>16</v>
      </c>
      <c r="H32" s="20"/>
      <c r="I32" s="18" t="s">
        <v>17</v>
      </c>
      <c r="J32" s="18" t="s">
        <v>18</v>
      </c>
      <c r="K32" s="21"/>
    </row>
    <row r="33" spans="1:11">
      <c r="A33" s="12">
        <f>_xlfn.AGGREGATE(3,1,$B$6:B33)</f>
        <v>28</v>
      </c>
      <c r="B33" s="13" t="s">
        <v>59</v>
      </c>
      <c r="C33" s="13" t="s">
        <v>70</v>
      </c>
      <c r="D33" s="16" t="s">
        <v>71</v>
      </c>
      <c r="E33" s="13" t="s">
        <v>69</v>
      </c>
      <c r="F33" s="15">
        <v>44594</v>
      </c>
      <c r="G33" s="13" t="s">
        <v>16</v>
      </c>
      <c r="H33" s="15"/>
      <c r="I33" s="13" t="s">
        <v>17</v>
      </c>
      <c r="J33" s="13" t="s">
        <v>18</v>
      </c>
      <c r="K33" s="16"/>
    </row>
    <row r="34" spans="1:11">
      <c r="A34" s="17">
        <f>_xlfn.AGGREGATE(3,1,$B$6:B34)</f>
        <v>29</v>
      </c>
      <c r="B34" s="18" t="s">
        <v>59</v>
      </c>
      <c r="C34" s="18" t="s">
        <v>72</v>
      </c>
      <c r="D34" s="21" t="s">
        <v>73</v>
      </c>
      <c r="E34" s="18" t="s">
        <v>38</v>
      </c>
      <c r="F34" s="20">
        <v>44594</v>
      </c>
      <c r="G34" s="18" t="s">
        <v>20</v>
      </c>
      <c r="H34" s="20"/>
      <c r="I34" s="18" t="s">
        <v>17</v>
      </c>
      <c r="J34" s="18" t="s">
        <v>18</v>
      </c>
      <c r="K34" s="21"/>
    </row>
    <row r="35" spans="1:11" ht="28.9">
      <c r="A35" s="12">
        <f>_xlfn.AGGREGATE(3,1,$B$6:B35)</f>
        <v>30</v>
      </c>
      <c r="B35" s="13" t="s">
        <v>59</v>
      </c>
      <c r="C35" s="13" t="s">
        <v>74</v>
      </c>
      <c r="D35" s="16" t="s">
        <v>67</v>
      </c>
      <c r="E35" s="13" t="s">
        <v>38</v>
      </c>
      <c r="F35" s="15">
        <v>44594</v>
      </c>
      <c r="G35" s="13" t="s">
        <v>20</v>
      </c>
      <c r="H35" s="15"/>
      <c r="I35" s="13" t="s">
        <v>17</v>
      </c>
      <c r="J35" s="13" t="s">
        <v>18</v>
      </c>
      <c r="K35" s="16"/>
    </row>
    <row r="36" spans="1:11" ht="28.9">
      <c r="A36" s="17">
        <f>_xlfn.AGGREGATE(3,1,$B$6:B36)</f>
        <v>31</v>
      </c>
      <c r="B36" s="18" t="s">
        <v>59</v>
      </c>
      <c r="C36" s="18" t="s">
        <v>75</v>
      </c>
      <c r="D36" s="21" t="s">
        <v>76</v>
      </c>
      <c r="E36" s="18" t="s">
        <v>42</v>
      </c>
      <c r="F36" s="20">
        <v>44594</v>
      </c>
      <c r="G36" s="18" t="s">
        <v>77</v>
      </c>
      <c r="H36" s="20"/>
      <c r="I36" s="18" t="s">
        <v>17</v>
      </c>
      <c r="J36" s="18" t="s">
        <v>18</v>
      </c>
      <c r="K36" s="21"/>
    </row>
    <row r="37" spans="1:11" ht="28.9">
      <c r="A37" s="12">
        <f>_xlfn.AGGREGATE(3,1,$B$6:B37)</f>
        <v>32</v>
      </c>
      <c r="B37" s="13" t="s">
        <v>59</v>
      </c>
      <c r="C37" s="13" t="s">
        <v>78</v>
      </c>
      <c r="D37" s="16" t="s">
        <v>79</v>
      </c>
      <c r="E37" s="13" t="s">
        <v>69</v>
      </c>
      <c r="F37" s="15">
        <v>44594</v>
      </c>
      <c r="G37" s="13" t="s">
        <v>16</v>
      </c>
      <c r="H37" s="15">
        <v>44566</v>
      </c>
      <c r="I37" s="13" t="s">
        <v>26</v>
      </c>
      <c r="J37" s="13" t="s">
        <v>18</v>
      </c>
      <c r="K37" s="13"/>
    </row>
    <row r="38" spans="1:11" ht="28.9">
      <c r="A38" s="17">
        <f>_xlfn.AGGREGATE(3,1,$B$6:B38)</f>
        <v>33</v>
      </c>
      <c r="B38" s="18" t="s">
        <v>80</v>
      </c>
      <c r="C38" s="18" t="s">
        <v>81</v>
      </c>
      <c r="D38" s="21" t="s">
        <v>82</v>
      </c>
      <c r="E38" s="18" t="s">
        <v>15</v>
      </c>
      <c r="F38" s="20">
        <v>44596</v>
      </c>
      <c r="G38" s="18" t="s">
        <v>16</v>
      </c>
      <c r="H38" s="20"/>
      <c r="I38" s="18" t="s">
        <v>17</v>
      </c>
      <c r="J38" s="18" t="s">
        <v>18</v>
      </c>
      <c r="K38" s="21"/>
    </row>
    <row r="39" spans="1:11">
      <c r="A39" s="12">
        <f>_xlfn.AGGREGATE(3,1,$B$6:B39)</f>
        <v>34</v>
      </c>
      <c r="B39" s="13" t="s">
        <v>80</v>
      </c>
      <c r="C39" s="13" t="s">
        <v>33</v>
      </c>
      <c r="D39" s="16" t="s">
        <v>14</v>
      </c>
      <c r="E39" s="13" t="s">
        <v>15</v>
      </c>
      <c r="F39" s="15">
        <v>44596</v>
      </c>
      <c r="G39" s="13" t="s">
        <v>16</v>
      </c>
      <c r="H39" s="15"/>
      <c r="I39" s="13" t="s">
        <v>17</v>
      </c>
      <c r="J39" s="13" t="s">
        <v>18</v>
      </c>
      <c r="K39" s="16"/>
    </row>
    <row r="40" spans="1:11">
      <c r="A40" s="17">
        <f>_xlfn.AGGREGATE(3,1,$B$6:B40)</f>
        <v>35</v>
      </c>
      <c r="B40" s="18" t="s">
        <v>80</v>
      </c>
      <c r="C40" s="18" t="s">
        <v>33</v>
      </c>
      <c r="D40" s="21" t="s">
        <v>83</v>
      </c>
      <c r="E40" s="18" t="s">
        <v>15</v>
      </c>
      <c r="F40" s="20">
        <v>44596</v>
      </c>
      <c r="G40" s="18" t="s">
        <v>16</v>
      </c>
      <c r="H40" s="20"/>
      <c r="I40" s="18" t="s">
        <v>17</v>
      </c>
      <c r="J40" s="18" t="s">
        <v>18</v>
      </c>
      <c r="K40" s="21"/>
    </row>
    <row r="41" spans="1:11">
      <c r="A41" s="12">
        <f>_xlfn.AGGREGATE(3,1,$B$6:B41)</f>
        <v>36</v>
      </c>
      <c r="B41" s="13" t="s">
        <v>84</v>
      </c>
      <c r="C41" s="13" t="s">
        <v>70</v>
      </c>
      <c r="D41" s="16" t="s">
        <v>85</v>
      </c>
      <c r="E41" s="13" t="s">
        <v>69</v>
      </c>
      <c r="F41" s="15">
        <v>44601</v>
      </c>
      <c r="G41" s="13" t="s">
        <v>16</v>
      </c>
      <c r="H41" s="15"/>
      <c r="I41" s="13" t="s">
        <v>17</v>
      </c>
      <c r="J41" s="13" t="s">
        <v>18</v>
      </c>
      <c r="K41" s="16"/>
    </row>
    <row r="42" spans="1:11">
      <c r="A42" s="17">
        <f>_xlfn.AGGREGATE(3,1,$B$6:B42)</f>
        <v>37</v>
      </c>
      <c r="B42" s="18" t="s">
        <v>84</v>
      </c>
      <c r="C42" s="18" t="s">
        <v>70</v>
      </c>
      <c r="D42" s="21" t="s">
        <v>86</v>
      </c>
      <c r="E42" s="18" t="s">
        <v>69</v>
      </c>
      <c r="F42" s="20">
        <v>44601</v>
      </c>
      <c r="G42" s="18" t="s">
        <v>20</v>
      </c>
      <c r="H42" s="20"/>
      <c r="I42" s="18" t="s">
        <v>17</v>
      </c>
      <c r="J42" s="18" t="s">
        <v>18</v>
      </c>
      <c r="K42" s="21"/>
    </row>
    <row r="43" spans="1:11" ht="28.9">
      <c r="A43" s="12">
        <f>_xlfn.AGGREGATE(3,1,$B$6:B43)</f>
        <v>38</v>
      </c>
      <c r="B43" s="13" t="s">
        <v>84</v>
      </c>
      <c r="C43" s="13" t="s">
        <v>78</v>
      </c>
      <c r="D43" s="16" t="s">
        <v>87</v>
      </c>
      <c r="E43" s="13" t="s">
        <v>69</v>
      </c>
      <c r="F43" s="15">
        <v>44601</v>
      </c>
      <c r="G43" s="13" t="s">
        <v>16</v>
      </c>
      <c r="H43" s="15"/>
      <c r="I43" s="13" t="s">
        <v>17</v>
      </c>
      <c r="J43" s="13" t="s">
        <v>18</v>
      </c>
      <c r="K43" s="16"/>
    </row>
    <row r="44" spans="1:11" ht="28.9">
      <c r="A44" s="17">
        <f>_xlfn.AGGREGATE(3,1,$B$6:B44)</f>
        <v>39</v>
      </c>
      <c r="B44" s="18" t="s">
        <v>88</v>
      </c>
      <c r="C44" s="18" t="s">
        <v>13</v>
      </c>
      <c r="D44" s="21" t="s">
        <v>82</v>
      </c>
      <c r="E44" s="18" t="s">
        <v>15</v>
      </c>
      <c r="F44" s="20">
        <v>44609</v>
      </c>
      <c r="G44" s="18" t="s">
        <v>16</v>
      </c>
      <c r="H44" s="20">
        <v>44635</v>
      </c>
      <c r="I44" s="18" t="s">
        <v>17</v>
      </c>
      <c r="J44" s="18" t="s">
        <v>18</v>
      </c>
      <c r="K44" s="21"/>
    </row>
    <row r="45" spans="1:11">
      <c r="A45" s="12">
        <f>_xlfn.AGGREGATE(3,1,$B$6:B45)</f>
        <v>40</v>
      </c>
      <c r="B45" s="13" t="s">
        <v>88</v>
      </c>
      <c r="C45" s="13" t="s">
        <v>13</v>
      </c>
      <c r="D45" s="16" t="s">
        <v>86</v>
      </c>
      <c r="E45" s="13" t="s">
        <v>15</v>
      </c>
      <c r="F45" s="15">
        <v>44609</v>
      </c>
      <c r="G45" s="13" t="s">
        <v>20</v>
      </c>
      <c r="H45" s="15">
        <v>44686</v>
      </c>
      <c r="I45" s="13" t="s">
        <v>17</v>
      </c>
      <c r="J45" s="13" t="s">
        <v>18</v>
      </c>
      <c r="K45" s="16"/>
    </row>
    <row r="46" spans="1:11">
      <c r="A46" s="17">
        <f>_xlfn.AGGREGATE(3,1,$B$6:B46)</f>
        <v>41</v>
      </c>
      <c r="B46" s="18" t="s">
        <v>88</v>
      </c>
      <c r="C46" s="18" t="s">
        <v>13</v>
      </c>
      <c r="D46" s="21" t="s">
        <v>14</v>
      </c>
      <c r="E46" s="18" t="s">
        <v>15</v>
      </c>
      <c r="F46" s="20">
        <v>44609</v>
      </c>
      <c r="G46" s="18" t="s">
        <v>16</v>
      </c>
      <c r="H46" s="20">
        <v>44635</v>
      </c>
      <c r="I46" s="18" t="s">
        <v>17</v>
      </c>
      <c r="J46" s="18" t="s">
        <v>18</v>
      </c>
      <c r="K46" s="21"/>
    </row>
    <row r="47" spans="1:11" ht="43.15">
      <c r="A47" s="12">
        <f>_xlfn.AGGREGATE(3,1,$B$6:B47)</f>
        <v>42</v>
      </c>
      <c r="B47" s="13" t="s">
        <v>88</v>
      </c>
      <c r="C47" s="13" t="s">
        <v>47</v>
      </c>
      <c r="D47" s="16" t="s">
        <v>89</v>
      </c>
      <c r="E47" s="13" t="s">
        <v>15</v>
      </c>
      <c r="F47" s="15">
        <v>44609</v>
      </c>
      <c r="G47" s="13" t="s">
        <v>16</v>
      </c>
      <c r="H47" s="15"/>
      <c r="I47" s="13" t="s">
        <v>17</v>
      </c>
      <c r="J47" s="13" t="s">
        <v>18</v>
      </c>
      <c r="K47" s="16"/>
    </row>
    <row r="48" spans="1:11">
      <c r="A48" s="17">
        <f>_xlfn.AGGREGATE(3,1,$B$6:B48)</f>
        <v>43</v>
      </c>
      <c r="B48" s="18" t="s">
        <v>88</v>
      </c>
      <c r="C48" s="18" t="s">
        <v>90</v>
      </c>
      <c r="D48" s="21" t="s">
        <v>91</v>
      </c>
      <c r="E48" s="18" t="s">
        <v>15</v>
      </c>
      <c r="F48" s="20">
        <v>44609</v>
      </c>
      <c r="G48" s="18" t="s">
        <v>16</v>
      </c>
      <c r="H48" s="20">
        <v>44671</v>
      </c>
      <c r="I48" s="18" t="s">
        <v>17</v>
      </c>
      <c r="J48" s="18" t="s">
        <v>18</v>
      </c>
      <c r="K48" s="21"/>
    </row>
    <row r="49" spans="1:11" ht="28.9">
      <c r="A49" s="12">
        <f>_xlfn.AGGREGATE(3,1,$B$6:B49)</f>
        <v>44</v>
      </c>
      <c r="B49" s="13" t="s">
        <v>88</v>
      </c>
      <c r="C49" s="13" t="s">
        <v>33</v>
      </c>
      <c r="D49" s="16" t="s">
        <v>79</v>
      </c>
      <c r="E49" s="13" t="s">
        <v>15</v>
      </c>
      <c r="F49" s="15">
        <v>44609</v>
      </c>
      <c r="G49" s="13" t="s">
        <v>16</v>
      </c>
      <c r="H49" s="15"/>
      <c r="I49" s="13" t="s">
        <v>26</v>
      </c>
      <c r="J49" s="13" t="s">
        <v>18</v>
      </c>
      <c r="K49" s="16"/>
    </row>
    <row r="50" spans="1:11" ht="43.15">
      <c r="A50" s="17">
        <f>_xlfn.AGGREGATE(3,1,$B$6:B50)</f>
        <v>45</v>
      </c>
      <c r="B50" s="18" t="s">
        <v>92</v>
      </c>
      <c r="C50" s="18" t="s">
        <v>93</v>
      </c>
      <c r="D50" s="21" t="s">
        <v>94</v>
      </c>
      <c r="E50" s="18" t="s">
        <v>95</v>
      </c>
      <c r="F50" s="20">
        <v>44610</v>
      </c>
      <c r="G50" s="18" t="s">
        <v>20</v>
      </c>
      <c r="H50" s="20"/>
      <c r="I50" s="18" t="s">
        <v>17</v>
      </c>
      <c r="J50" s="18" t="s">
        <v>18</v>
      </c>
      <c r="K50" s="21"/>
    </row>
    <row r="51" spans="1:11">
      <c r="A51" s="12">
        <f>_xlfn.AGGREGATE(3,1,$B$6:B51)</f>
        <v>46</v>
      </c>
      <c r="B51" s="13" t="s">
        <v>92</v>
      </c>
      <c r="C51" s="13" t="s">
        <v>96</v>
      </c>
      <c r="D51" s="16" t="s">
        <v>14</v>
      </c>
      <c r="E51" s="13" t="s">
        <v>95</v>
      </c>
      <c r="F51" s="15">
        <v>44610</v>
      </c>
      <c r="G51" s="13" t="s">
        <v>16</v>
      </c>
      <c r="H51" s="15"/>
      <c r="I51" s="13" t="s">
        <v>17</v>
      </c>
      <c r="J51" s="13" t="s">
        <v>18</v>
      </c>
      <c r="K51" s="16"/>
    </row>
    <row r="52" spans="1:11" ht="28.9">
      <c r="A52" s="17">
        <f>_xlfn.AGGREGATE(3,1,$B$6:B52)</f>
        <v>47</v>
      </c>
      <c r="B52" s="18" t="s">
        <v>92</v>
      </c>
      <c r="C52" s="18" t="s">
        <v>96</v>
      </c>
      <c r="D52" s="21" t="s">
        <v>97</v>
      </c>
      <c r="E52" s="18" t="s">
        <v>95</v>
      </c>
      <c r="F52" s="20">
        <v>44610</v>
      </c>
      <c r="G52" s="18" t="s">
        <v>16</v>
      </c>
      <c r="H52" s="20"/>
      <c r="I52" s="18" t="s">
        <v>17</v>
      </c>
      <c r="J52" s="18" t="s">
        <v>18</v>
      </c>
      <c r="K52" s="21"/>
    </row>
    <row r="53" spans="1:11">
      <c r="A53" s="12">
        <f>_xlfn.AGGREGATE(3,1,$B$6:B53)</f>
        <v>48</v>
      </c>
      <c r="B53" s="13" t="s">
        <v>92</v>
      </c>
      <c r="C53" s="13" t="s">
        <v>98</v>
      </c>
      <c r="D53" s="16" t="s">
        <v>91</v>
      </c>
      <c r="E53" s="13" t="s">
        <v>95</v>
      </c>
      <c r="F53" s="15">
        <v>44610</v>
      </c>
      <c r="G53" s="13" t="s">
        <v>77</v>
      </c>
      <c r="H53" s="15"/>
      <c r="I53" s="13" t="s">
        <v>17</v>
      </c>
      <c r="J53" s="13" t="s">
        <v>18</v>
      </c>
      <c r="K53" s="16"/>
    </row>
    <row r="54" spans="1:11">
      <c r="A54" s="17">
        <f>_xlfn.AGGREGATE(3,1,$B$6:B54)</f>
        <v>49</v>
      </c>
      <c r="B54" s="18" t="s">
        <v>92</v>
      </c>
      <c r="C54" s="18" t="s">
        <v>93</v>
      </c>
      <c r="D54" s="21" t="s">
        <v>99</v>
      </c>
      <c r="E54" s="18" t="s">
        <v>95</v>
      </c>
      <c r="F54" s="20">
        <v>44610</v>
      </c>
      <c r="G54" s="18" t="s">
        <v>16</v>
      </c>
      <c r="H54" s="20"/>
      <c r="I54" s="18" t="s">
        <v>17</v>
      </c>
      <c r="J54" s="18" t="s">
        <v>18</v>
      </c>
      <c r="K54" s="21"/>
    </row>
    <row r="55" spans="1:11">
      <c r="A55" s="12">
        <f>_xlfn.AGGREGATE(3,1,$B$6:B55)</f>
        <v>50</v>
      </c>
      <c r="B55" s="13" t="s">
        <v>92</v>
      </c>
      <c r="C55" s="13" t="s">
        <v>100</v>
      </c>
      <c r="D55" s="16" t="s">
        <v>14</v>
      </c>
      <c r="E55" s="13" t="s">
        <v>95</v>
      </c>
      <c r="F55" s="15">
        <v>44610</v>
      </c>
      <c r="G55" s="13" t="s">
        <v>16</v>
      </c>
      <c r="H55" s="15"/>
      <c r="I55" s="13" t="s">
        <v>17</v>
      </c>
      <c r="J55" s="13" t="s">
        <v>18</v>
      </c>
      <c r="K55" s="16"/>
    </row>
    <row r="56" spans="1:11" ht="28.9">
      <c r="A56" s="17">
        <f>_xlfn.AGGREGATE(3,1,$B$6:B56)</f>
        <v>51</v>
      </c>
      <c r="B56" s="18" t="s">
        <v>92</v>
      </c>
      <c r="C56" s="18" t="s">
        <v>101</v>
      </c>
      <c r="D56" s="21" t="s">
        <v>97</v>
      </c>
      <c r="E56" s="18" t="s">
        <v>95</v>
      </c>
      <c r="F56" s="20">
        <v>44610</v>
      </c>
      <c r="G56" s="18" t="s">
        <v>16</v>
      </c>
      <c r="H56" s="20"/>
      <c r="I56" s="18" t="s">
        <v>17</v>
      </c>
      <c r="J56" s="18" t="s">
        <v>18</v>
      </c>
      <c r="K56" s="21"/>
    </row>
    <row r="57" spans="1:11" ht="28.9">
      <c r="A57" s="12">
        <f>_xlfn.AGGREGATE(3,1,$B$6:B57)</f>
        <v>52</v>
      </c>
      <c r="B57" s="13" t="s">
        <v>92</v>
      </c>
      <c r="C57" s="13" t="s">
        <v>96</v>
      </c>
      <c r="D57" s="16" t="s">
        <v>79</v>
      </c>
      <c r="E57" s="13" t="s">
        <v>95</v>
      </c>
      <c r="F57" s="15">
        <v>44610</v>
      </c>
      <c r="G57" s="13" t="s">
        <v>16</v>
      </c>
      <c r="H57" s="15"/>
      <c r="I57" s="13" t="s">
        <v>26</v>
      </c>
      <c r="J57" s="13" t="s">
        <v>18</v>
      </c>
      <c r="K57" s="16"/>
    </row>
    <row r="58" spans="1:11">
      <c r="A58" s="17">
        <f>_xlfn.AGGREGATE(3,1,$B$6:B58)</f>
        <v>53</v>
      </c>
      <c r="B58" s="18" t="s">
        <v>102</v>
      </c>
      <c r="C58" s="18" t="s">
        <v>40</v>
      </c>
      <c r="D58" s="21" t="s">
        <v>103</v>
      </c>
      <c r="E58" s="18" t="s">
        <v>56</v>
      </c>
      <c r="F58" s="20">
        <v>44641</v>
      </c>
      <c r="G58" s="18" t="s">
        <v>16</v>
      </c>
      <c r="H58" s="20"/>
      <c r="I58" s="18" t="s">
        <v>17</v>
      </c>
      <c r="J58" s="18" t="s">
        <v>18</v>
      </c>
      <c r="K58" s="21"/>
    </row>
    <row r="59" spans="1:11" ht="28.9">
      <c r="A59" s="12">
        <f>_xlfn.AGGREGATE(3,1,$B$6:B59)</f>
        <v>54</v>
      </c>
      <c r="B59" s="13" t="s">
        <v>102</v>
      </c>
      <c r="C59" s="13" t="s">
        <v>104</v>
      </c>
      <c r="D59" s="16" t="s">
        <v>105</v>
      </c>
      <c r="E59" s="13" t="s">
        <v>56</v>
      </c>
      <c r="F59" s="15">
        <v>44641</v>
      </c>
      <c r="G59" s="13" t="s">
        <v>20</v>
      </c>
      <c r="H59" s="15"/>
      <c r="I59" s="13" t="s">
        <v>26</v>
      </c>
      <c r="J59" s="13" t="s">
        <v>18</v>
      </c>
      <c r="K59" s="16"/>
    </row>
    <row r="60" spans="1:11" ht="28.9">
      <c r="A60" s="17">
        <f>_xlfn.AGGREGATE(3,1,$B$6:B60)</f>
        <v>55</v>
      </c>
      <c r="B60" s="18" t="s">
        <v>102</v>
      </c>
      <c r="C60" s="18" t="s">
        <v>104</v>
      </c>
      <c r="D60" s="21" t="s">
        <v>106</v>
      </c>
      <c r="E60" s="18" t="s">
        <v>56</v>
      </c>
      <c r="F60" s="20">
        <v>44641</v>
      </c>
      <c r="G60" s="18" t="s">
        <v>20</v>
      </c>
      <c r="H60" s="20"/>
      <c r="I60" s="18" t="s">
        <v>26</v>
      </c>
      <c r="J60" s="18" t="s">
        <v>18</v>
      </c>
      <c r="K60" s="21"/>
    </row>
    <row r="61" spans="1:11" ht="57.6">
      <c r="A61" s="12">
        <f>_xlfn.AGGREGATE(3,1,$B$6:B61)</f>
        <v>56</v>
      </c>
      <c r="B61" s="13" t="s">
        <v>102</v>
      </c>
      <c r="C61" s="13" t="s">
        <v>107</v>
      </c>
      <c r="D61" s="16" t="s">
        <v>108</v>
      </c>
      <c r="E61" s="13" t="s">
        <v>56</v>
      </c>
      <c r="F61" s="15">
        <v>44641</v>
      </c>
      <c r="G61" s="13" t="s">
        <v>16</v>
      </c>
      <c r="H61" s="15"/>
      <c r="I61" s="13" t="s">
        <v>26</v>
      </c>
      <c r="J61" s="13" t="s">
        <v>18</v>
      </c>
      <c r="K61" s="16"/>
    </row>
    <row r="62" spans="1:11" ht="57.6">
      <c r="A62" s="17">
        <f>_xlfn.AGGREGATE(3,1,$B$6:B62)</f>
        <v>57</v>
      </c>
      <c r="B62" s="18" t="s">
        <v>102</v>
      </c>
      <c r="C62" s="18" t="s">
        <v>107</v>
      </c>
      <c r="D62" s="21" t="s">
        <v>109</v>
      </c>
      <c r="E62" s="18" t="s">
        <v>56</v>
      </c>
      <c r="F62" s="20">
        <v>44641</v>
      </c>
      <c r="G62" s="18" t="s">
        <v>16</v>
      </c>
      <c r="H62" s="20"/>
      <c r="I62" s="18" t="s">
        <v>26</v>
      </c>
      <c r="J62" s="18" t="s">
        <v>18</v>
      </c>
      <c r="K62" s="21"/>
    </row>
    <row r="63" spans="1:11" ht="28.9">
      <c r="A63" s="12">
        <f>_xlfn.AGGREGATE(3,1,$B$6:B63)</f>
        <v>58</v>
      </c>
      <c r="B63" s="13" t="s">
        <v>110</v>
      </c>
      <c r="C63" s="13" t="s">
        <v>111</v>
      </c>
      <c r="D63" s="16" t="s">
        <v>97</v>
      </c>
      <c r="E63" s="13" t="s">
        <v>15</v>
      </c>
      <c r="F63" s="15">
        <v>44641</v>
      </c>
      <c r="G63" s="13" t="s">
        <v>16</v>
      </c>
      <c r="H63" s="15"/>
      <c r="I63" s="13" t="s">
        <v>17</v>
      </c>
      <c r="J63" s="13" t="s">
        <v>18</v>
      </c>
      <c r="K63" s="16"/>
    </row>
    <row r="64" spans="1:11" ht="28.9">
      <c r="A64" s="17">
        <f>_xlfn.AGGREGATE(3,1,$B$6:B64)</f>
        <v>59</v>
      </c>
      <c r="B64" s="18" t="s">
        <v>110</v>
      </c>
      <c r="C64" s="18" t="s">
        <v>45</v>
      </c>
      <c r="D64" s="21" t="s">
        <v>112</v>
      </c>
      <c r="E64" s="18" t="s">
        <v>15</v>
      </c>
      <c r="F64" s="20">
        <v>44641</v>
      </c>
      <c r="G64" s="18" t="s">
        <v>77</v>
      </c>
      <c r="H64" s="20"/>
      <c r="I64" s="18" t="s">
        <v>17</v>
      </c>
      <c r="J64" s="18" t="s">
        <v>18</v>
      </c>
      <c r="K64" s="21"/>
    </row>
    <row r="65" spans="1:11" ht="28.9">
      <c r="A65" s="12">
        <f>_xlfn.AGGREGATE(3,1,$B$6:B65)</f>
        <v>60</v>
      </c>
      <c r="B65" s="13" t="s">
        <v>110</v>
      </c>
      <c r="C65" s="13" t="s">
        <v>111</v>
      </c>
      <c r="D65" s="16" t="s">
        <v>79</v>
      </c>
      <c r="E65" s="13" t="s">
        <v>15</v>
      </c>
      <c r="F65" s="15">
        <v>44641</v>
      </c>
      <c r="G65" s="13" t="s">
        <v>16</v>
      </c>
      <c r="H65" s="15"/>
      <c r="I65" s="13" t="s">
        <v>26</v>
      </c>
      <c r="J65" s="13" t="s">
        <v>18</v>
      </c>
      <c r="K65" s="16"/>
    </row>
    <row r="66" spans="1:11" ht="28.9">
      <c r="A66" s="17">
        <f>_xlfn.AGGREGATE(3,1,$B$6:B66)</f>
        <v>61</v>
      </c>
      <c r="B66" s="18" t="s">
        <v>113</v>
      </c>
      <c r="C66" s="18" t="s">
        <v>75</v>
      </c>
      <c r="D66" s="21" t="s">
        <v>112</v>
      </c>
      <c r="E66" s="18" t="s">
        <v>38</v>
      </c>
      <c r="F66" s="20">
        <v>44642</v>
      </c>
      <c r="G66" s="18" t="s">
        <v>77</v>
      </c>
      <c r="H66" s="20"/>
      <c r="I66" s="18" t="s">
        <v>17</v>
      </c>
      <c r="J66" s="18" t="s">
        <v>18</v>
      </c>
      <c r="K66" s="21"/>
    </row>
    <row r="67" spans="1:11" ht="28.9">
      <c r="A67" s="12">
        <f>_xlfn.AGGREGATE(3,1,$B$6:B67)</f>
        <v>62</v>
      </c>
      <c r="B67" s="13" t="s">
        <v>113</v>
      </c>
      <c r="C67" s="13" t="s">
        <v>75</v>
      </c>
      <c r="D67" s="16" t="s">
        <v>32</v>
      </c>
      <c r="E67" s="13" t="s">
        <v>38</v>
      </c>
      <c r="F67" s="15">
        <v>44642</v>
      </c>
      <c r="G67" s="13" t="s">
        <v>16</v>
      </c>
      <c r="H67" s="15"/>
      <c r="I67" s="13" t="s">
        <v>17</v>
      </c>
      <c r="J67" s="13" t="s">
        <v>18</v>
      </c>
      <c r="K67" s="16"/>
    </row>
    <row r="68" spans="1:11" ht="28.9">
      <c r="A68" s="17">
        <f>_xlfn.AGGREGATE(3,1,$B$6:B68)</f>
        <v>63</v>
      </c>
      <c r="B68" s="18" t="s">
        <v>113</v>
      </c>
      <c r="C68" s="18" t="s">
        <v>114</v>
      </c>
      <c r="D68" s="21" t="s">
        <v>115</v>
      </c>
      <c r="E68" s="18" t="s">
        <v>61</v>
      </c>
      <c r="F68" s="20">
        <v>44642</v>
      </c>
      <c r="G68" s="18" t="s">
        <v>20</v>
      </c>
      <c r="H68" s="20"/>
      <c r="I68" s="18" t="s">
        <v>17</v>
      </c>
      <c r="J68" s="18" t="s">
        <v>18</v>
      </c>
      <c r="K68" s="21"/>
    </row>
    <row r="69" spans="1:11" ht="28.9">
      <c r="A69" s="12">
        <f>_xlfn.AGGREGATE(3,1,$B$6:B69)</f>
        <v>64</v>
      </c>
      <c r="B69" s="13" t="s">
        <v>113</v>
      </c>
      <c r="C69" s="13" t="s">
        <v>116</v>
      </c>
      <c r="D69" s="16" t="s">
        <v>117</v>
      </c>
      <c r="E69" s="13" t="s">
        <v>69</v>
      </c>
      <c r="F69" s="15">
        <v>44642</v>
      </c>
      <c r="G69" s="13" t="s">
        <v>20</v>
      </c>
      <c r="H69" s="15"/>
      <c r="I69" s="13" t="s">
        <v>17</v>
      </c>
      <c r="J69" s="13" t="s">
        <v>18</v>
      </c>
      <c r="K69" s="16"/>
    </row>
    <row r="70" spans="1:11">
      <c r="A70" s="17">
        <f>_xlfn.AGGREGATE(3,1,$B$6:B70)</f>
        <v>65</v>
      </c>
      <c r="B70" s="18" t="s">
        <v>113</v>
      </c>
      <c r="C70" s="18" t="s">
        <v>13</v>
      </c>
      <c r="D70" s="21" t="s">
        <v>14</v>
      </c>
      <c r="E70" s="18" t="s">
        <v>69</v>
      </c>
      <c r="F70" s="20">
        <v>44642</v>
      </c>
      <c r="G70" s="18" t="s">
        <v>16</v>
      </c>
      <c r="H70" s="20"/>
      <c r="I70" s="18" t="s">
        <v>17</v>
      </c>
      <c r="J70" s="18" t="s">
        <v>18</v>
      </c>
      <c r="K70" s="21"/>
    </row>
    <row r="71" spans="1:11" ht="28.9">
      <c r="A71" s="12">
        <f>_xlfn.AGGREGATE(3,1,$B$6:B71)</f>
        <v>66</v>
      </c>
      <c r="B71" s="13" t="s">
        <v>113</v>
      </c>
      <c r="C71" s="13" t="s">
        <v>13</v>
      </c>
      <c r="D71" s="16" t="s">
        <v>53</v>
      </c>
      <c r="E71" s="13" t="s">
        <v>69</v>
      </c>
      <c r="F71" s="15">
        <v>44642</v>
      </c>
      <c r="G71" s="13" t="s">
        <v>16</v>
      </c>
      <c r="H71" s="15"/>
      <c r="I71" s="13" t="s">
        <v>17</v>
      </c>
      <c r="J71" s="13" t="s">
        <v>18</v>
      </c>
      <c r="K71" s="16"/>
    </row>
    <row r="72" spans="1:11">
      <c r="A72" s="17">
        <f>_xlfn.AGGREGATE(3,1,$B$6:B72)</f>
        <v>67</v>
      </c>
      <c r="B72" s="18" t="s">
        <v>113</v>
      </c>
      <c r="C72" s="18" t="s">
        <v>118</v>
      </c>
      <c r="D72" s="21" t="s">
        <v>119</v>
      </c>
      <c r="E72" s="18" t="s">
        <v>120</v>
      </c>
      <c r="F72" s="20">
        <v>44642</v>
      </c>
      <c r="G72" s="18" t="s">
        <v>16</v>
      </c>
      <c r="H72" s="20"/>
      <c r="I72" s="18" t="s">
        <v>26</v>
      </c>
      <c r="J72" s="18" t="s">
        <v>18</v>
      </c>
      <c r="K72" s="21"/>
    </row>
    <row r="73" spans="1:11">
      <c r="A73" s="12">
        <f>_xlfn.AGGREGATE(3,1,$B$6:B73)</f>
        <v>68</v>
      </c>
      <c r="B73" s="13" t="s">
        <v>113</v>
      </c>
      <c r="C73" s="13" t="s">
        <v>118</v>
      </c>
      <c r="D73" s="16" t="s">
        <v>121</v>
      </c>
      <c r="E73" s="13" t="s">
        <v>120</v>
      </c>
      <c r="F73" s="15">
        <v>44642</v>
      </c>
      <c r="G73" s="13" t="s">
        <v>16</v>
      </c>
      <c r="H73" s="15"/>
      <c r="I73" s="13" t="s">
        <v>26</v>
      </c>
      <c r="J73" s="13" t="s">
        <v>18</v>
      </c>
      <c r="K73" s="16"/>
    </row>
    <row r="74" spans="1:11">
      <c r="A74" s="17">
        <f>_xlfn.AGGREGATE(3,1,$B$6:B74)</f>
        <v>69</v>
      </c>
      <c r="B74" s="18" t="s">
        <v>122</v>
      </c>
      <c r="C74" s="18" t="s">
        <v>123</v>
      </c>
      <c r="D74" s="21" t="s">
        <v>124</v>
      </c>
      <c r="E74" s="18" t="s">
        <v>30</v>
      </c>
      <c r="F74" s="20">
        <v>44643</v>
      </c>
      <c r="G74" s="18" t="s">
        <v>16</v>
      </c>
      <c r="H74" s="20"/>
      <c r="I74" s="18" t="s">
        <v>17</v>
      </c>
      <c r="J74" s="18" t="s">
        <v>18</v>
      </c>
      <c r="K74" s="21"/>
    </row>
    <row r="75" spans="1:11" ht="28.9">
      <c r="A75" s="12">
        <f>_xlfn.AGGREGATE(3,1,$B$6:B75)</f>
        <v>70</v>
      </c>
      <c r="B75" s="13" t="s">
        <v>122</v>
      </c>
      <c r="C75" s="13" t="s">
        <v>123</v>
      </c>
      <c r="D75" s="16" t="s">
        <v>32</v>
      </c>
      <c r="E75" s="13" t="s">
        <v>30</v>
      </c>
      <c r="F75" s="15">
        <v>44643</v>
      </c>
      <c r="G75" s="13" t="s">
        <v>20</v>
      </c>
      <c r="H75" s="15"/>
      <c r="I75" s="13" t="s">
        <v>17</v>
      </c>
      <c r="J75" s="13" t="s">
        <v>18</v>
      </c>
      <c r="K75" s="16"/>
    </row>
    <row r="76" spans="1:11" ht="28.9">
      <c r="A76" s="17">
        <f>_xlfn.AGGREGATE(3,1,$B$6:B76)</f>
        <v>71</v>
      </c>
      <c r="B76" s="18" t="s">
        <v>122</v>
      </c>
      <c r="C76" s="18" t="s">
        <v>123</v>
      </c>
      <c r="D76" s="21" t="s">
        <v>125</v>
      </c>
      <c r="E76" s="18" t="s">
        <v>30</v>
      </c>
      <c r="F76" s="20">
        <v>44643</v>
      </c>
      <c r="G76" s="18" t="s">
        <v>16</v>
      </c>
      <c r="H76" s="20"/>
      <c r="I76" s="18" t="s">
        <v>17</v>
      </c>
      <c r="J76" s="18" t="s">
        <v>18</v>
      </c>
      <c r="K76" s="21"/>
    </row>
    <row r="77" spans="1:11">
      <c r="A77" s="12">
        <f>_xlfn.AGGREGATE(3,1,$B$6:B77)</f>
        <v>72</v>
      </c>
      <c r="B77" s="13" t="s">
        <v>126</v>
      </c>
      <c r="C77" s="13" t="s">
        <v>127</v>
      </c>
      <c r="D77" s="16" t="s">
        <v>128</v>
      </c>
      <c r="E77" s="13" t="s">
        <v>38</v>
      </c>
      <c r="F77" s="15">
        <v>44651</v>
      </c>
      <c r="G77" s="13" t="s">
        <v>77</v>
      </c>
      <c r="H77" s="15">
        <v>44658</v>
      </c>
      <c r="I77" s="13" t="s">
        <v>17</v>
      </c>
      <c r="J77" s="13" t="s">
        <v>18</v>
      </c>
      <c r="K77" s="16"/>
    </row>
    <row r="78" spans="1:11" ht="28.9">
      <c r="A78" s="17">
        <f>_xlfn.AGGREGATE(3,1,$B$6:B78)</f>
        <v>73</v>
      </c>
      <c r="B78" s="18" t="s">
        <v>126</v>
      </c>
      <c r="C78" s="18" t="s">
        <v>127</v>
      </c>
      <c r="D78" s="21" t="s">
        <v>129</v>
      </c>
      <c r="E78" s="18" t="s">
        <v>38</v>
      </c>
      <c r="F78" s="20">
        <v>44651</v>
      </c>
      <c r="G78" s="18" t="s">
        <v>16</v>
      </c>
      <c r="H78" s="20"/>
      <c r="I78" s="18" t="s">
        <v>17</v>
      </c>
      <c r="J78" s="18" t="s">
        <v>18</v>
      </c>
      <c r="K78" s="21"/>
    </row>
    <row r="79" spans="1:11" ht="28.9">
      <c r="A79" s="12">
        <f>_xlfn.AGGREGATE(3,1,$B$6:B79)</f>
        <v>74</v>
      </c>
      <c r="B79" s="13" t="s">
        <v>126</v>
      </c>
      <c r="C79" s="13" t="s">
        <v>127</v>
      </c>
      <c r="D79" s="16" t="s">
        <v>130</v>
      </c>
      <c r="E79" s="13" t="s">
        <v>38</v>
      </c>
      <c r="F79" s="15">
        <v>44651</v>
      </c>
      <c r="G79" s="13" t="s">
        <v>16</v>
      </c>
      <c r="H79" s="15"/>
      <c r="I79" s="13" t="s">
        <v>17</v>
      </c>
      <c r="J79" s="13" t="s">
        <v>18</v>
      </c>
      <c r="K79" s="16"/>
    </row>
    <row r="80" spans="1:11">
      <c r="A80" s="17">
        <f>_xlfn.AGGREGATE(3,1,$B$6:B80)</f>
        <v>75</v>
      </c>
      <c r="B80" s="18" t="s">
        <v>126</v>
      </c>
      <c r="C80" s="18" t="s">
        <v>127</v>
      </c>
      <c r="D80" s="21" t="s">
        <v>131</v>
      </c>
      <c r="E80" s="18" t="s">
        <v>38</v>
      </c>
      <c r="F80" s="20">
        <v>44651</v>
      </c>
      <c r="G80" s="18" t="s">
        <v>16</v>
      </c>
      <c r="H80" s="20"/>
      <c r="I80" s="18" t="s">
        <v>17</v>
      </c>
      <c r="J80" s="18" t="s">
        <v>18</v>
      </c>
      <c r="K80" s="21"/>
    </row>
    <row r="81" spans="1:11" ht="43.15">
      <c r="A81" s="12">
        <f>_xlfn.AGGREGATE(3,1,$B$6:B81)</f>
        <v>76</v>
      </c>
      <c r="B81" s="13" t="s">
        <v>126</v>
      </c>
      <c r="C81" s="13" t="s">
        <v>118</v>
      </c>
      <c r="D81" s="16" t="s">
        <v>132</v>
      </c>
      <c r="E81" s="13" t="s">
        <v>120</v>
      </c>
      <c r="F81" s="15">
        <v>44651</v>
      </c>
      <c r="G81" s="13" t="s">
        <v>16</v>
      </c>
      <c r="H81" s="15">
        <v>44671</v>
      </c>
      <c r="I81" s="13" t="s">
        <v>26</v>
      </c>
      <c r="J81" s="13" t="s">
        <v>18</v>
      </c>
      <c r="K81" s="16"/>
    </row>
    <row r="82" spans="1:11" ht="28.9">
      <c r="A82" s="17">
        <f>_xlfn.AGGREGATE(3,1,$B$6:B82)</f>
        <v>77</v>
      </c>
      <c r="B82" s="18" t="s">
        <v>133</v>
      </c>
      <c r="C82" s="18" t="s">
        <v>111</v>
      </c>
      <c r="D82" s="21" t="s">
        <v>67</v>
      </c>
      <c r="E82" s="18" t="s">
        <v>15</v>
      </c>
      <c r="F82" s="20">
        <v>44655</v>
      </c>
      <c r="G82" s="18" t="s">
        <v>16</v>
      </c>
      <c r="H82" s="20"/>
      <c r="I82" s="18" t="s">
        <v>17</v>
      </c>
      <c r="J82" s="18" t="s">
        <v>18</v>
      </c>
      <c r="K82" s="21"/>
    </row>
    <row r="83" spans="1:11" ht="28.9">
      <c r="A83" s="12">
        <f>_xlfn.AGGREGATE(3,1,$B$6:B83)</f>
        <v>78</v>
      </c>
      <c r="B83" s="13" t="s">
        <v>133</v>
      </c>
      <c r="C83" s="13" t="s">
        <v>45</v>
      </c>
      <c r="D83" s="16" t="s">
        <v>112</v>
      </c>
      <c r="E83" s="13" t="s">
        <v>15</v>
      </c>
      <c r="F83" s="15">
        <v>44655</v>
      </c>
      <c r="G83" s="13" t="s">
        <v>77</v>
      </c>
      <c r="H83" s="15"/>
      <c r="I83" s="13" t="s">
        <v>17</v>
      </c>
      <c r="J83" s="13" t="s">
        <v>18</v>
      </c>
      <c r="K83" s="16"/>
    </row>
    <row r="84" spans="1:11" ht="28.9">
      <c r="A84" s="17">
        <f>_xlfn.AGGREGATE(3,1,$B$6:B84)</f>
        <v>79</v>
      </c>
      <c r="B84" s="18" t="s">
        <v>133</v>
      </c>
      <c r="C84" s="18" t="s">
        <v>111</v>
      </c>
      <c r="D84" s="21" t="s">
        <v>134</v>
      </c>
      <c r="E84" s="18" t="s">
        <v>15</v>
      </c>
      <c r="F84" s="20">
        <v>44655</v>
      </c>
      <c r="G84" s="18" t="s">
        <v>16</v>
      </c>
      <c r="H84" s="20">
        <v>44669</v>
      </c>
      <c r="I84" s="18" t="s">
        <v>26</v>
      </c>
      <c r="J84" s="18" t="s">
        <v>18</v>
      </c>
      <c r="K84" s="21"/>
    </row>
    <row r="85" spans="1:11" ht="28.9">
      <c r="A85" s="12">
        <f>_xlfn.AGGREGATE(3,1,$B$6:B85)</f>
        <v>80</v>
      </c>
      <c r="B85" s="13" t="s">
        <v>135</v>
      </c>
      <c r="C85" s="13" t="s">
        <v>136</v>
      </c>
      <c r="D85" s="16" t="s">
        <v>137</v>
      </c>
      <c r="E85" s="13" t="s">
        <v>30</v>
      </c>
      <c r="F85" s="15">
        <v>44658</v>
      </c>
      <c r="G85" s="13" t="s">
        <v>16</v>
      </c>
      <c r="H85" s="15"/>
      <c r="I85" s="13" t="s">
        <v>17</v>
      </c>
      <c r="J85" s="13" t="s">
        <v>18</v>
      </c>
      <c r="K85" s="16"/>
    </row>
    <row r="86" spans="1:11">
      <c r="A86" s="17">
        <f>_xlfn.AGGREGATE(3,1,$B$6:B86)</f>
        <v>81</v>
      </c>
      <c r="B86" s="18" t="s">
        <v>135</v>
      </c>
      <c r="C86" s="18" t="s">
        <v>136</v>
      </c>
      <c r="D86" s="21" t="s">
        <v>138</v>
      </c>
      <c r="E86" s="18" t="s">
        <v>30</v>
      </c>
      <c r="F86" s="20">
        <v>44658</v>
      </c>
      <c r="G86" s="18" t="s">
        <v>16</v>
      </c>
      <c r="H86" s="20">
        <v>44676</v>
      </c>
      <c r="I86" s="18" t="s">
        <v>17</v>
      </c>
      <c r="J86" s="18" t="s">
        <v>18</v>
      </c>
      <c r="K86" s="21"/>
    </row>
    <row r="87" spans="1:11" ht="43.15">
      <c r="A87" s="12">
        <f>_xlfn.AGGREGATE(3,1,$B$6:B87)</f>
        <v>82</v>
      </c>
      <c r="B87" s="13" t="s">
        <v>139</v>
      </c>
      <c r="C87" s="13" t="s">
        <v>140</v>
      </c>
      <c r="D87" s="16" t="s">
        <v>141</v>
      </c>
      <c r="E87" s="13" t="s">
        <v>36</v>
      </c>
      <c r="F87" s="15">
        <v>44671</v>
      </c>
      <c r="G87" s="13" t="s">
        <v>16</v>
      </c>
      <c r="H87" s="15"/>
      <c r="I87" s="13" t="s">
        <v>17</v>
      </c>
      <c r="J87" s="13" t="s">
        <v>18</v>
      </c>
      <c r="K87" s="16"/>
    </row>
    <row r="88" spans="1:11" ht="28.9">
      <c r="A88" s="17">
        <f>_xlfn.AGGREGATE(3,1,$B$6:B88)</f>
        <v>83</v>
      </c>
      <c r="B88" s="18" t="s">
        <v>139</v>
      </c>
      <c r="C88" s="18" t="s">
        <v>75</v>
      </c>
      <c r="D88" s="21" t="s">
        <v>142</v>
      </c>
      <c r="E88" s="18" t="s">
        <v>38</v>
      </c>
      <c r="F88" s="20">
        <v>44671</v>
      </c>
      <c r="G88" s="18" t="s">
        <v>20</v>
      </c>
      <c r="H88" s="20"/>
      <c r="I88" s="18" t="s">
        <v>17</v>
      </c>
      <c r="J88" s="18" t="s">
        <v>18</v>
      </c>
      <c r="K88" s="21"/>
    </row>
    <row r="89" spans="1:11">
      <c r="A89" s="12">
        <f>_xlfn.AGGREGATE(3,1,$B$6:B89)</f>
        <v>84</v>
      </c>
      <c r="B89" s="13" t="s">
        <v>139</v>
      </c>
      <c r="C89" s="13" t="s">
        <v>116</v>
      </c>
      <c r="D89" s="16" t="s">
        <v>143</v>
      </c>
      <c r="E89" s="13" t="s">
        <v>38</v>
      </c>
      <c r="F89" s="15">
        <v>44671</v>
      </c>
      <c r="G89" s="13" t="s">
        <v>77</v>
      </c>
      <c r="H89" s="15"/>
      <c r="I89" s="13" t="s">
        <v>17</v>
      </c>
      <c r="J89" s="13" t="s">
        <v>18</v>
      </c>
      <c r="K89" s="16"/>
    </row>
    <row r="90" spans="1:11" ht="28.9">
      <c r="A90" s="17">
        <f>_xlfn.AGGREGATE(3,1,$B$6:B90)</f>
        <v>85</v>
      </c>
      <c r="B90" s="18" t="s">
        <v>139</v>
      </c>
      <c r="C90" s="18" t="s">
        <v>144</v>
      </c>
      <c r="D90" s="21" t="s">
        <v>145</v>
      </c>
      <c r="E90" s="18" t="s">
        <v>146</v>
      </c>
      <c r="F90" s="20">
        <v>44671</v>
      </c>
      <c r="G90" s="18" t="s">
        <v>16</v>
      </c>
      <c r="H90" s="20"/>
      <c r="I90" s="18" t="s">
        <v>17</v>
      </c>
      <c r="J90" s="18" t="s">
        <v>18</v>
      </c>
      <c r="K90" s="21"/>
    </row>
    <row r="91" spans="1:11">
      <c r="A91" s="12">
        <f>_xlfn.AGGREGATE(3,1,$B$6:B91)</f>
        <v>86</v>
      </c>
      <c r="B91" s="13" t="s">
        <v>139</v>
      </c>
      <c r="C91" s="13" t="s">
        <v>144</v>
      </c>
      <c r="D91" s="16" t="s">
        <v>147</v>
      </c>
      <c r="E91" s="13" t="s">
        <v>146</v>
      </c>
      <c r="F91" s="15">
        <v>44671</v>
      </c>
      <c r="G91" s="13" t="s">
        <v>20</v>
      </c>
      <c r="H91" s="15"/>
      <c r="I91" s="13" t="s">
        <v>17</v>
      </c>
      <c r="J91" s="13" t="s">
        <v>18</v>
      </c>
      <c r="K91" s="16"/>
    </row>
    <row r="92" spans="1:11" ht="28.9">
      <c r="A92" s="17">
        <f>_xlfn.AGGREGATE(3,1,$B$6:B92)</f>
        <v>87</v>
      </c>
      <c r="B92" s="18" t="s">
        <v>139</v>
      </c>
      <c r="C92" s="18" t="s">
        <v>123</v>
      </c>
      <c r="D92" s="21" t="s">
        <v>32</v>
      </c>
      <c r="E92" s="18" t="s">
        <v>69</v>
      </c>
      <c r="F92" s="20">
        <v>44671</v>
      </c>
      <c r="G92" s="18" t="s">
        <v>20</v>
      </c>
      <c r="H92" s="20"/>
      <c r="I92" s="18" t="s">
        <v>17</v>
      </c>
      <c r="J92" s="18" t="s">
        <v>18</v>
      </c>
      <c r="K92" s="21"/>
    </row>
    <row r="93" spans="1:11" ht="28.9">
      <c r="A93" s="12">
        <f>_xlfn.AGGREGATE(3,1,$B$6:B93)</f>
        <v>88</v>
      </c>
      <c r="B93" s="13" t="s">
        <v>139</v>
      </c>
      <c r="C93" s="13" t="s">
        <v>123</v>
      </c>
      <c r="D93" s="16" t="s">
        <v>125</v>
      </c>
      <c r="E93" s="13" t="s">
        <v>69</v>
      </c>
      <c r="F93" s="15">
        <v>44671</v>
      </c>
      <c r="G93" s="13" t="s">
        <v>16</v>
      </c>
      <c r="H93" s="15"/>
      <c r="I93" s="13" t="s">
        <v>17</v>
      </c>
      <c r="J93" s="13" t="s">
        <v>18</v>
      </c>
      <c r="K93" s="16"/>
    </row>
    <row r="94" spans="1:11">
      <c r="A94" s="17">
        <f>_xlfn.AGGREGATE(3,1,$B$6:B94)</f>
        <v>89</v>
      </c>
      <c r="B94" s="18" t="s">
        <v>139</v>
      </c>
      <c r="C94" s="18" t="s">
        <v>123</v>
      </c>
      <c r="D94" s="21" t="s">
        <v>148</v>
      </c>
      <c r="E94" s="18" t="s">
        <v>69</v>
      </c>
      <c r="F94" s="20">
        <v>44671</v>
      </c>
      <c r="G94" s="18" t="s">
        <v>77</v>
      </c>
      <c r="H94" s="20"/>
      <c r="I94" s="18" t="s">
        <v>17</v>
      </c>
      <c r="J94" s="18" t="s">
        <v>18</v>
      </c>
      <c r="K94" s="21"/>
    </row>
    <row r="95" spans="1:11" ht="28.9">
      <c r="A95" s="12">
        <f>_xlfn.AGGREGATE(3,1,$B$6:B95)</f>
        <v>90</v>
      </c>
      <c r="B95" s="13" t="s">
        <v>139</v>
      </c>
      <c r="C95" s="13" t="s">
        <v>140</v>
      </c>
      <c r="D95" s="16" t="s">
        <v>149</v>
      </c>
      <c r="E95" s="13" t="s">
        <v>36</v>
      </c>
      <c r="F95" s="15">
        <v>44671</v>
      </c>
      <c r="G95" s="13" t="s">
        <v>16</v>
      </c>
      <c r="H95" s="15"/>
      <c r="I95" s="13" t="s">
        <v>26</v>
      </c>
      <c r="J95" s="13" t="s">
        <v>18</v>
      </c>
      <c r="K95" s="16"/>
    </row>
    <row r="96" spans="1:11" ht="28.9">
      <c r="A96" s="17">
        <f>_xlfn.AGGREGATE(3,1,$B$6:B96)</f>
        <v>91</v>
      </c>
      <c r="B96" s="18" t="s">
        <v>139</v>
      </c>
      <c r="C96" s="18" t="s">
        <v>75</v>
      </c>
      <c r="D96" s="21" t="s">
        <v>112</v>
      </c>
      <c r="E96" s="18" t="s">
        <v>38</v>
      </c>
      <c r="F96" s="20">
        <v>44671</v>
      </c>
      <c r="G96" s="18" t="s">
        <v>77</v>
      </c>
      <c r="H96" s="20"/>
      <c r="I96" s="18" t="s">
        <v>26</v>
      </c>
      <c r="J96" s="18" t="s">
        <v>18</v>
      </c>
      <c r="K96" s="21" t="s">
        <v>150</v>
      </c>
    </row>
    <row r="97" spans="1:11" ht="28.9">
      <c r="A97" s="12">
        <f>_xlfn.AGGREGATE(3,1,$B$6:B97)</f>
        <v>92</v>
      </c>
      <c r="B97" s="13" t="s">
        <v>139</v>
      </c>
      <c r="C97" s="13" t="s">
        <v>116</v>
      </c>
      <c r="D97" s="16" t="s">
        <v>151</v>
      </c>
      <c r="E97" s="13" t="s">
        <v>38</v>
      </c>
      <c r="F97" s="15">
        <v>44671</v>
      </c>
      <c r="G97" s="13" t="s">
        <v>77</v>
      </c>
      <c r="H97" s="15"/>
      <c r="I97" s="13" t="s">
        <v>26</v>
      </c>
      <c r="J97" s="13" t="s">
        <v>18</v>
      </c>
      <c r="K97" s="16"/>
    </row>
    <row r="98" spans="1:11" ht="28.9">
      <c r="A98" s="17">
        <f>_xlfn.AGGREGATE(3,1,$B$6:B98)</f>
        <v>93</v>
      </c>
      <c r="B98" s="18" t="s">
        <v>152</v>
      </c>
      <c r="C98" s="18" t="s">
        <v>153</v>
      </c>
      <c r="D98" s="21" t="s">
        <v>154</v>
      </c>
      <c r="E98" s="18" t="s">
        <v>95</v>
      </c>
      <c r="F98" s="20">
        <v>44680</v>
      </c>
      <c r="G98" s="18" t="s">
        <v>20</v>
      </c>
      <c r="H98" s="20"/>
      <c r="I98" s="18" t="s">
        <v>17</v>
      </c>
      <c r="J98" s="18" t="s">
        <v>18</v>
      </c>
      <c r="K98" s="21"/>
    </row>
    <row r="99" spans="1:11" ht="28.9">
      <c r="A99" s="12">
        <f>_xlfn.AGGREGATE(3,1,$B$6:B99)</f>
        <v>94</v>
      </c>
      <c r="B99" s="13" t="s">
        <v>152</v>
      </c>
      <c r="C99" s="13" t="s">
        <v>153</v>
      </c>
      <c r="D99" s="16" t="s">
        <v>155</v>
      </c>
      <c r="E99" s="13" t="s">
        <v>95</v>
      </c>
      <c r="F99" s="15">
        <v>44680</v>
      </c>
      <c r="G99" s="13" t="s">
        <v>77</v>
      </c>
      <c r="H99" s="15"/>
      <c r="I99" s="13" t="s">
        <v>17</v>
      </c>
      <c r="J99" s="13" t="s">
        <v>18</v>
      </c>
      <c r="K99" s="16"/>
    </row>
    <row r="100" spans="1:11" ht="28.9">
      <c r="A100" s="17">
        <f>_xlfn.AGGREGATE(3,1,$B$6:B100)</f>
        <v>95</v>
      </c>
      <c r="B100" s="18" t="s">
        <v>156</v>
      </c>
      <c r="C100" s="18" t="s">
        <v>157</v>
      </c>
      <c r="D100" s="21" t="s">
        <v>97</v>
      </c>
      <c r="E100" s="18" t="s">
        <v>30</v>
      </c>
      <c r="F100" s="20">
        <v>44693</v>
      </c>
      <c r="G100" s="18" t="s">
        <v>16</v>
      </c>
      <c r="H100" s="20"/>
      <c r="I100" s="18" t="s">
        <v>17</v>
      </c>
      <c r="J100" s="18" t="s">
        <v>18</v>
      </c>
      <c r="K100" s="21"/>
    </row>
    <row r="101" spans="1:11">
      <c r="A101" s="12">
        <f>_xlfn.AGGREGATE(3,1,$B$6:B101)</f>
        <v>96</v>
      </c>
      <c r="B101" s="13" t="s">
        <v>156</v>
      </c>
      <c r="C101" s="13" t="s">
        <v>157</v>
      </c>
      <c r="D101" s="16" t="s">
        <v>86</v>
      </c>
      <c r="E101" s="13" t="s">
        <v>30</v>
      </c>
      <c r="F101" s="15">
        <v>44693</v>
      </c>
      <c r="G101" s="13" t="s">
        <v>20</v>
      </c>
      <c r="H101" s="15"/>
      <c r="I101" s="13" t="s">
        <v>17</v>
      </c>
      <c r="J101" s="13" t="s">
        <v>18</v>
      </c>
      <c r="K101" s="16"/>
    </row>
    <row r="102" spans="1:11" ht="28.9">
      <c r="A102" s="17">
        <f>_xlfn.AGGREGATE(3,1,$B$6:B102)</f>
        <v>97</v>
      </c>
      <c r="B102" s="18" t="s">
        <v>156</v>
      </c>
      <c r="C102" s="18" t="s">
        <v>114</v>
      </c>
      <c r="D102" s="21" t="s">
        <v>158</v>
      </c>
      <c r="E102" s="18" t="s">
        <v>159</v>
      </c>
      <c r="F102" s="20">
        <v>44693</v>
      </c>
      <c r="G102" s="18" t="s">
        <v>20</v>
      </c>
      <c r="H102" s="20"/>
      <c r="I102" s="18" t="s">
        <v>17</v>
      </c>
      <c r="J102" s="18" t="s">
        <v>18</v>
      </c>
      <c r="K102" s="21"/>
    </row>
    <row r="103" spans="1:11" ht="28.9">
      <c r="A103" s="12">
        <f>_xlfn.AGGREGATE(3,1,$B$6:B103)</f>
        <v>98</v>
      </c>
      <c r="B103" s="13" t="s">
        <v>156</v>
      </c>
      <c r="C103" s="13" t="s">
        <v>45</v>
      </c>
      <c r="D103" s="16" t="s">
        <v>160</v>
      </c>
      <c r="E103" s="13" t="s">
        <v>15</v>
      </c>
      <c r="F103" s="15">
        <v>44693</v>
      </c>
      <c r="G103" s="13" t="s">
        <v>77</v>
      </c>
      <c r="H103" s="15"/>
      <c r="I103" s="13" t="s">
        <v>17</v>
      </c>
      <c r="J103" s="13" t="s">
        <v>18</v>
      </c>
      <c r="K103" s="16"/>
    </row>
    <row r="104" spans="1:11" ht="28.9">
      <c r="A104" s="17">
        <f>_xlfn.AGGREGATE(3,1,$B$6:B104)</f>
        <v>99</v>
      </c>
      <c r="B104" s="18" t="s">
        <v>156</v>
      </c>
      <c r="C104" s="18" t="s">
        <v>45</v>
      </c>
      <c r="D104" s="21" t="s">
        <v>46</v>
      </c>
      <c r="E104" s="18" t="s">
        <v>15</v>
      </c>
      <c r="F104" s="20">
        <v>44693</v>
      </c>
      <c r="G104" s="18" t="s">
        <v>16</v>
      </c>
      <c r="H104" s="20"/>
      <c r="I104" s="18" t="s">
        <v>26</v>
      </c>
      <c r="J104" s="18" t="s">
        <v>18</v>
      </c>
      <c r="K104" s="21" t="s">
        <v>161</v>
      </c>
    </row>
    <row r="105" spans="1:11" ht="28.9">
      <c r="A105" s="12">
        <f>_xlfn.AGGREGATE(3,1,$B$6:B105)</f>
        <v>100</v>
      </c>
      <c r="B105" s="13" t="s">
        <v>156</v>
      </c>
      <c r="C105" s="13" t="s">
        <v>111</v>
      </c>
      <c r="D105" s="16" t="s">
        <v>134</v>
      </c>
      <c r="E105" s="13" t="s">
        <v>15</v>
      </c>
      <c r="F105" s="15">
        <v>44693</v>
      </c>
      <c r="G105" s="13" t="s">
        <v>16</v>
      </c>
      <c r="H105" s="15"/>
      <c r="I105" s="13" t="s">
        <v>26</v>
      </c>
      <c r="J105" s="13" t="s">
        <v>18</v>
      </c>
      <c r="K105" s="16"/>
    </row>
    <row r="106" spans="1:11">
      <c r="A106" s="17">
        <f>_xlfn.AGGREGATE(3,1,$B$6:B106)</f>
        <v>101</v>
      </c>
      <c r="B106" s="18" t="s">
        <v>162</v>
      </c>
      <c r="C106" s="18" t="s">
        <v>13</v>
      </c>
      <c r="D106" s="21" t="s">
        <v>163</v>
      </c>
      <c r="E106" s="18" t="s">
        <v>36</v>
      </c>
      <c r="F106" s="20">
        <v>44699</v>
      </c>
      <c r="G106" s="18" t="s">
        <v>20</v>
      </c>
      <c r="H106" s="20"/>
      <c r="I106" s="18" t="s">
        <v>17</v>
      </c>
      <c r="J106" s="18" t="s">
        <v>18</v>
      </c>
      <c r="K106" s="21"/>
    </row>
    <row r="107" spans="1:11" ht="28.9">
      <c r="A107" s="12">
        <f>_xlfn.AGGREGATE(3,1,$B$6:B107)</f>
        <v>102</v>
      </c>
      <c r="B107" s="13" t="s">
        <v>162</v>
      </c>
      <c r="C107" s="13" t="s">
        <v>13</v>
      </c>
      <c r="D107" s="16" t="s">
        <v>53</v>
      </c>
      <c r="E107" s="13" t="s">
        <v>36</v>
      </c>
      <c r="F107" s="15">
        <v>44699</v>
      </c>
      <c r="G107" s="13" t="s">
        <v>16</v>
      </c>
      <c r="H107" s="15"/>
      <c r="I107" s="13" t="s">
        <v>17</v>
      </c>
      <c r="J107" s="13" t="s">
        <v>18</v>
      </c>
      <c r="K107" s="16"/>
    </row>
    <row r="108" spans="1:11">
      <c r="A108" s="17">
        <f>_xlfn.AGGREGATE(3,1,$B$6:B108)</f>
        <v>103</v>
      </c>
      <c r="B108" s="18" t="s">
        <v>162</v>
      </c>
      <c r="C108" s="18" t="s">
        <v>13</v>
      </c>
      <c r="D108" s="21" t="s">
        <v>119</v>
      </c>
      <c r="E108" s="18" t="s">
        <v>36</v>
      </c>
      <c r="F108" s="20">
        <v>44699</v>
      </c>
      <c r="G108" s="18" t="s">
        <v>16</v>
      </c>
      <c r="H108" s="20"/>
      <c r="I108" s="18" t="s">
        <v>17</v>
      </c>
      <c r="J108" s="18" t="s">
        <v>18</v>
      </c>
      <c r="K108" s="21"/>
    </row>
    <row r="109" spans="1:11" ht="28.9">
      <c r="A109" s="12">
        <f>_xlfn.AGGREGATE(3,1,$B$6:B109)</f>
        <v>104</v>
      </c>
      <c r="B109" s="13" t="s">
        <v>162</v>
      </c>
      <c r="C109" s="13" t="s">
        <v>164</v>
      </c>
      <c r="D109" s="16" t="s">
        <v>53</v>
      </c>
      <c r="E109" s="13" t="s">
        <v>69</v>
      </c>
      <c r="F109" s="15">
        <v>44699</v>
      </c>
      <c r="G109" s="13" t="s">
        <v>16</v>
      </c>
      <c r="H109" s="15"/>
      <c r="I109" s="13" t="s">
        <v>17</v>
      </c>
      <c r="J109" s="13" t="s">
        <v>18</v>
      </c>
      <c r="K109" s="16"/>
    </row>
    <row r="110" spans="1:11">
      <c r="A110" s="17">
        <f>_xlfn.AGGREGATE(3,1,$B$6:B110)</f>
        <v>105</v>
      </c>
      <c r="B110" s="18" t="s">
        <v>162</v>
      </c>
      <c r="C110" s="18" t="s">
        <v>40</v>
      </c>
      <c r="D110" s="21" t="s">
        <v>165</v>
      </c>
      <c r="E110" s="18" t="s">
        <v>166</v>
      </c>
      <c r="F110" s="20">
        <v>44699</v>
      </c>
      <c r="G110" s="18" t="s">
        <v>77</v>
      </c>
      <c r="H110" s="20"/>
      <c r="I110" s="18" t="s">
        <v>17</v>
      </c>
      <c r="J110" s="18" t="s">
        <v>18</v>
      </c>
      <c r="K110" s="21"/>
    </row>
    <row r="111" spans="1:11">
      <c r="A111" s="12">
        <f>_xlfn.AGGREGATE(3,1,$B$6:B111)</f>
        <v>106</v>
      </c>
      <c r="B111" s="13" t="s">
        <v>162</v>
      </c>
      <c r="C111" s="13" t="s">
        <v>167</v>
      </c>
      <c r="D111" s="16" t="s">
        <v>119</v>
      </c>
      <c r="E111" s="13" t="s">
        <v>38</v>
      </c>
      <c r="F111" s="15">
        <v>44699</v>
      </c>
      <c r="G111" s="13" t="s">
        <v>16</v>
      </c>
      <c r="H111" s="15"/>
      <c r="I111" s="13" t="s">
        <v>17</v>
      </c>
      <c r="J111" s="13" t="s">
        <v>18</v>
      </c>
      <c r="K111" s="16"/>
    </row>
    <row r="112" spans="1:11" ht="28.9">
      <c r="A112" s="17">
        <f>_xlfn.AGGREGATE(3,1,$B$6:B112)</f>
        <v>107</v>
      </c>
      <c r="B112" s="18" t="s">
        <v>162</v>
      </c>
      <c r="C112" s="18" t="s">
        <v>167</v>
      </c>
      <c r="D112" s="21" t="s">
        <v>112</v>
      </c>
      <c r="E112" s="18" t="s">
        <v>38</v>
      </c>
      <c r="F112" s="20">
        <v>44699</v>
      </c>
      <c r="G112" s="18" t="s">
        <v>77</v>
      </c>
      <c r="H112" s="20"/>
      <c r="I112" s="18" t="s">
        <v>17</v>
      </c>
      <c r="J112" s="18" t="s">
        <v>18</v>
      </c>
      <c r="K112" s="21"/>
    </row>
    <row r="113" spans="1:11" ht="28.9">
      <c r="A113" s="12">
        <f>_xlfn.AGGREGATE(3,1,$B$6:B113)</f>
        <v>108</v>
      </c>
      <c r="B113" s="13" t="s">
        <v>162</v>
      </c>
      <c r="C113" s="13" t="s">
        <v>167</v>
      </c>
      <c r="D113" s="16" t="s">
        <v>53</v>
      </c>
      <c r="E113" s="13" t="s">
        <v>38</v>
      </c>
      <c r="F113" s="15">
        <v>44699</v>
      </c>
      <c r="G113" s="13" t="s">
        <v>16</v>
      </c>
      <c r="H113" s="15"/>
      <c r="I113" s="13" t="s">
        <v>17</v>
      </c>
      <c r="J113" s="13" t="s">
        <v>18</v>
      </c>
      <c r="K113" s="16"/>
    </row>
    <row r="114" spans="1:11" ht="28.9">
      <c r="A114" s="17">
        <f>_xlfn.AGGREGATE(3,1,$B$6:B114)</f>
        <v>109</v>
      </c>
      <c r="B114" s="18" t="s">
        <v>162</v>
      </c>
      <c r="C114" s="18" t="s">
        <v>167</v>
      </c>
      <c r="D114" s="21" t="s">
        <v>168</v>
      </c>
      <c r="E114" s="18" t="s">
        <v>38</v>
      </c>
      <c r="F114" s="20">
        <v>44699</v>
      </c>
      <c r="G114" s="18" t="s">
        <v>16</v>
      </c>
      <c r="H114" s="20"/>
      <c r="I114" s="18" t="s">
        <v>26</v>
      </c>
      <c r="J114" s="18" t="s">
        <v>18</v>
      </c>
      <c r="K114" s="21"/>
    </row>
    <row r="115" spans="1:11" ht="28.9">
      <c r="A115" s="12">
        <f>_xlfn.AGGREGATE(3,1,$B$6:B115)</f>
        <v>110</v>
      </c>
      <c r="B115" s="13" t="s">
        <v>162</v>
      </c>
      <c r="C115" s="13" t="s">
        <v>167</v>
      </c>
      <c r="D115" s="16" t="s">
        <v>46</v>
      </c>
      <c r="E115" s="13" t="s">
        <v>38</v>
      </c>
      <c r="F115" s="15">
        <v>44699</v>
      </c>
      <c r="G115" s="13" t="s">
        <v>16</v>
      </c>
      <c r="H115" s="15"/>
      <c r="I115" s="13" t="s">
        <v>26</v>
      </c>
      <c r="J115" s="13" t="s">
        <v>18</v>
      </c>
      <c r="K115" s="16" t="s">
        <v>161</v>
      </c>
    </row>
    <row r="116" spans="1:11" ht="28.9">
      <c r="A116" s="17">
        <f>_xlfn.AGGREGATE(3,1,$B$6:B116)</f>
        <v>111</v>
      </c>
      <c r="B116" s="18" t="s">
        <v>169</v>
      </c>
      <c r="C116" s="18" t="s">
        <v>164</v>
      </c>
      <c r="D116" s="21" t="s">
        <v>53</v>
      </c>
      <c r="E116" s="18" t="s">
        <v>30</v>
      </c>
      <c r="F116" s="20">
        <v>44708</v>
      </c>
      <c r="G116" s="18" t="s">
        <v>16</v>
      </c>
      <c r="H116" s="20"/>
      <c r="I116" s="18" t="s">
        <v>17</v>
      </c>
      <c r="J116" s="18" t="s">
        <v>18</v>
      </c>
      <c r="K116" s="21"/>
    </row>
    <row r="117" spans="1:11" ht="28.9">
      <c r="A117" s="12">
        <f>_xlfn.AGGREGATE(3,1,$B$6:B117)</f>
        <v>112</v>
      </c>
      <c r="B117" s="13" t="s">
        <v>169</v>
      </c>
      <c r="C117" s="13" t="s">
        <v>21</v>
      </c>
      <c r="D117" s="16" t="s">
        <v>170</v>
      </c>
      <c r="E117" s="13" t="s">
        <v>159</v>
      </c>
      <c r="F117" s="15">
        <v>44708</v>
      </c>
      <c r="G117" s="13" t="s">
        <v>20</v>
      </c>
      <c r="H117" s="15"/>
      <c r="I117" s="13" t="s">
        <v>17</v>
      </c>
      <c r="J117" s="13" t="s">
        <v>18</v>
      </c>
      <c r="K117" s="16"/>
    </row>
    <row r="118" spans="1:11" ht="28.9">
      <c r="A118" s="17">
        <f>_xlfn.AGGREGATE(3,1,$B$6:B118)</f>
        <v>113</v>
      </c>
      <c r="B118" s="18" t="s">
        <v>169</v>
      </c>
      <c r="C118" s="18" t="s">
        <v>21</v>
      </c>
      <c r="D118" s="21" t="s">
        <v>171</v>
      </c>
      <c r="E118" s="18" t="s">
        <v>159</v>
      </c>
      <c r="F118" s="20">
        <v>44708</v>
      </c>
      <c r="G118" s="18" t="s">
        <v>77</v>
      </c>
      <c r="H118" s="20"/>
      <c r="I118" s="18" t="s">
        <v>17</v>
      </c>
      <c r="J118" s="18" t="s">
        <v>18</v>
      </c>
      <c r="K118" s="21"/>
    </row>
    <row r="119" spans="1:11" ht="28.9">
      <c r="A119" s="12">
        <f>_xlfn.AGGREGATE(3,1,$B$6:B119)</f>
        <v>114</v>
      </c>
      <c r="B119" s="13" t="s">
        <v>169</v>
      </c>
      <c r="C119" s="13" t="s">
        <v>21</v>
      </c>
      <c r="D119" s="16" t="s">
        <v>172</v>
      </c>
      <c r="E119" s="13" t="s">
        <v>159</v>
      </c>
      <c r="F119" s="15">
        <v>44708</v>
      </c>
      <c r="G119" s="13" t="s">
        <v>16</v>
      </c>
      <c r="H119" s="15"/>
      <c r="I119" s="13" t="s">
        <v>17</v>
      </c>
      <c r="J119" s="13" t="s">
        <v>18</v>
      </c>
      <c r="K119" s="16"/>
    </row>
    <row r="120" spans="1:11" ht="28.9">
      <c r="A120" s="17">
        <f>_xlfn.AGGREGATE(3,1,$B$6:B120)</f>
        <v>115</v>
      </c>
      <c r="B120" s="18" t="s">
        <v>169</v>
      </c>
      <c r="C120" s="18" t="s">
        <v>45</v>
      </c>
      <c r="D120" s="21" t="s">
        <v>160</v>
      </c>
      <c r="E120" s="18" t="s">
        <v>15</v>
      </c>
      <c r="F120" s="20">
        <v>44708</v>
      </c>
      <c r="G120" s="18" t="s">
        <v>77</v>
      </c>
      <c r="H120" s="20"/>
      <c r="I120" s="18" t="s">
        <v>17</v>
      </c>
      <c r="J120" s="18" t="s">
        <v>18</v>
      </c>
      <c r="K120" s="21"/>
    </row>
    <row r="121" spans="1:11" ht="28.9">
      <c r="A121" s="12">
        <f>_xlfn.AGGREGATE(3,1,$B$6:B121)</f>
        <v>116</v>
      </c>
      <c r="B121" s="13" t="s">
        <v>169</v>
      </c>
      <c r="C121" s="13" t="s">
        <v>21</v>
      </c>
      <c r="D121" s="16" t="s">
        <v>46</v>
      </c>
      <c r="E121" s="13" t="s">
        <v>159</v>
      </c>
      <c r="F121" s="15">
        <v>44708</v>
      </c>
      <c r="G121" s="13" t="s">
        <v>16</v>
      </c>
      <c r="H121" s="15"/>
      <c r="I121" s="13" t="s">
        <v>26</v>
      </c>
      <c r="J121" s="13" t="s">
        <v>18</v>
      </c>
      <c r="K121" s="16" t="s">
        <v>161</v>
      </c>
    </row>
    <row r="122" spans="1:11" ht="28.9">
      <c r="A122" s="17">
        <f>_xlfn.AGGREGATE(3,1,$B$6:B122)</f>
        <v>117</v>
      </c>
      <c r="B122" s="18" t="s">
        <v>169</v>
      </c>
      <c r="C122" s="18" t="s">
        <v>45</v>
      </c>
      <c r="D122" s="21" t="s">
        <v>134</v>
      </c>
      <c r="E122" s="18" t="s">
        <v>15</v>
      </c>
      <c r="F122" s="20">
        <v>44708</v>
      </c>
      <c r="G122" s="18" t="s">
        <v>16</v>
      </c>
      <c r="H122" s="20"/>
      <c r="I122" s="18" t="s">
        <v>26</v>
      </c>
      <c r="J122" s="18" t="s">
        <v>18</v>
      </c>
      <c r="K122" s="21"/>
    </row>
    <row r="123" spans="1:11">
      <c r="A123" s="12">
        <f>_xlfn.AGGREGATE(3,1,$B$6:B123)</f>
        <v>118</v>
      </c>
      <c r="B123" s="13" t="s">
        <v>173</v>
      </c>
      <c r="C123" s="13" t="s">
        <v>40</v>
      </c>
      <c r="D123" s="16" t="s">
        <v>174</v>
      </c>
      <c r="E123" s="13" t="s">
        <v>38</v>
      </c>
      <c r="F123" s="15">
        <v>44728</v>
      </c>
      <c r="G123" s="13" t="s">
        <v>16</v>
      </c>
      <c r="H123" s="15"/>
      <c r="I123" s="13" t="s">
        <v>17</v>
      </c>
      <c r="J123" s="13" t="s">
        <v>18</v>
      </c>
      <c r="K123" s="16"/>
    </row>
    <row r="124" spans="1:11" ht="28.9">
      <c r="A124" s="17">
        <f>_xlfn.AGGREGATE(3,1,$B$6:B124)</f>
        <v>119</v>
      </c>
      <c r="B124" s="18" t="s">
        <v>173</v>
      </c>
      <c r="C124" s="18" t="s">
        <v>40</v>
      </c>
      <c r="D124" s="21" t="s">
        <v>175</v>
      </c>
      <c r="E124" s="18" t="s">
        <v>38</v>
      </c>
      <c r="F124" s="20">
        <v>44728</v>
      </c>
      <c r="G124" s="18" t="s">
        <v>20</v>
      </c>
      <c r="H124" s="20"/>
      <c r="I124" s="18" t="s">
        <v>17</v>
      </c>
      <c r="J124" s="18" t="s">
        <v>18</v>
      </c>
      <c r="K124" s="21"/>
    </row>
    <row r="125" spans="1:11" ht="28.9">
      <c r="A125" s="12">
        <f>_xlfn.AGGREGATE(3,1,$B$6:B125)</f>
        <v>120</v>
      </c>
      <c r="B125" s="13" t="s">
        <v>173</v>
      </c>
      <c r="C125" s="13" t="s">
        <v>176</v>
      </c>
      <c r="D125" s="16" t="s">
        <v>177</v>
      </c>
      <c r="E125" s="13" t="s">
        <v>38</v>
      </c>
      <c r="F125" s="15">
        <v>44728</v>
      </c>
      <c r="G125" s="13" t="s">
        <v>20</v>
      </c>
      <c r="H125" s="15"/>
      <c r="I125" s="13" t="s">
        <v>17</v>
      </c>
      <c r="J125" s="13" t="s">
        <v>18</v>
      </c>
      <c r="K125" s="16"/>
    </row>
    <row r="126" spans="1:11" ht="28.9">
      <c r="A126" s="17">
        <f>_xlfn.AGGREGATE(3,1,$B$6:B126)</f>
        <v>121</v>
      </c>
      <c r="B126" s="18" t="s">
        <v>173</v>
      </c>
      <c r="C126" s="18" t="s">
        <v>176</v>
      </c>
      <c r="D126" s="21" t="s">
        <v>178</v>
      </c>
      <c r="E126" s="18" t="s">
        <v>38</v>
      </c>
      <c r="F126" s="20">
        <v>44728</v>
      </c>
      <c r="G126" s="18" t="s">
        <v>20</v>
      </c>
      <c r="H126" s="20"/>
      <c r="I126" s="18" t="s">
        <v>17</v>
      </c>
      <c r="J126" s="18" t="s">
        <v>18</v>
      </c>
      <c r="K126" s="21"/>
    </row>
    <row r="127" spans="1:11" ht="28.9">
      <c r="A127" s="12">
        <f>_xlfn.AGGREGATE(3,1,$B$6:B127)</f>
        <v>122</v>
      </c>
      <c r="B127" s="13" t="s">
        <v>173</v>
      </c>
      <c r="C127" s="13" t="s">
        <v>176</v>
      </c>
      <c r="D127" s="16" t="s">
        <v>179</v>
      </c>
      <c r="E127" s="13" t="s">
        <v>38</v>
      </c>
      <c r="F127" s="15">
        <v>44728</v>
      </c>
      <c r="G127" s="13" t="s">
        <v>77</v>
      </c>
      <c r="H127" s="15"/>
      <c r="I127" s="13" t="s">
        <v>17</v>
      </c>
      <c r="J127" s="13" t="s">
        <v>18</v>
      </c>
      <c r="K127" s="16"/>
    </row>
    <row r="128" spans="1:11" ht="57.6">
      <c r="A128" s="17">
        <f>_xlfn.AGGREGATE(3,1,$B$6:B128)</f>
        <v>123</v>
      </c>
      <c r="B128" s="18" t="s">
        <v>173</v>
      </c>
      <c r="C128" s="18" t="s">
        <v>176</v>
      </c>
      <c r="D128" s="21" t="s">
        <v>180</v>
      </c>
      <c r="E128" s="18" t="s">
        <v>38</v>
      </c>
      <c r="F128" s="20">
        <v>44728</v>
      </c>
      <c r="G128" s="18" t="s">
        <v>77</v>
      </c>
      <c r="H128" s="20"/>
      <c r="I128" s="18" t="s">
        <v>17</v>
      </c>
      <c r="J128" s="18" t="s">
        <v>18</v>
      </c>
      <c r="K128" s="21"/>
    </row>
    <row r="129" spans="1:11" ht="43.15">
      <c r="A129" s="12">
        <f>_xlfn.AGGREGATE(3,1,$B$6:B129)</f>
        <v>124</v>
      </c>
      <c r="B129" s="13" t="s">
        <v>181</v>
      </c>
      <c r="C129" s="13" t="s">
        <v>63</v>
      </c>
      <c r="D129" s="16" t="s">
        <v>182</v>
      </c>
      <c r="E129" s="13" t="s">
        <v>183</v>
      </c>
      <c r="F129" s="15">
        <v>44735</v>
      </c>
      <c r="G129" s="13" t="s">
        <v>20</v>
      </c>
      <c r="H129" s="15"/>
      <c r="I129" s="13" t="s">
        <v>17</v>
      </c>
      <c r="J129" s="13" t="s">
        <v>18</v>
      </c>
      <c r="K129" s="16"/>
    </row>
    <row r="130" spans="1:11" ht="28.9">
      <c r="A130" s="17">
        <f>_xlfn.AGGREGATE(3,1,$B$6:B130)</f>
        <v>125</v>
      </c>
      <c r="B130" s="18" t="s">
        <v>181</v>
      </c>
      <c r="C130" s="18" t="s">
        <v>63</v>
      </c>
      <c r="D130" s="21" t="s">
        <v>184</v>
      </c>
      <c r="E130" s="18" t="s">
        <v>183</v>
      </c>
      <c r="F130" s="20">
        <v>44735</v>
      </c>
      <c r="G130" s="18" t="s">
        <v>20</v>
      </c>
      <c r="H130" s="20"/>
      <c r="I130" s="18" t="s">
        <v>17</v>
      </c>
      <c r="J130" s="18" t="s">
        <v>18</v>
      </c>
      <c r="K130" s="21"/>
    </row>
    <row r="131" spans="1:11" ht="28.9">
      <c r="A131" s="12">
        <f>_xlfn.AGGREGATE(3,1,$B$6:B131)</f>
        <v>126</v>
      </c>
      <c r="B131" s="13" t="s">
        <v>185</v>
      </c>
      <c r="C131" s="13" t="s">
        <v>186</v>
      </c>
      <c r="D131" s="16" t="s">
        <v>187</v>
      </c>
      <c r="E131" s="13" t="s">
        <v>183</v>
      </c>
      <c r="F131" s="15">
        <v>44746</v>
      </c>
      <c r="G131" s="13" t="s">
        <v>20</v>
      </c>
      <c r="H131" s="15"/>
      <c r="I131" s="13" t="s">
        <v>17</v>
      </c>
      <c r="J131" s="13" t="s">
        <v>18</v>
      </c>
      <c r="K131" s="16"/>
    </row>
    <row r="132" spans="1:11">
      <c r="A132" s="17">
        <f>_xlfn.AGGREGATE(3,1,$B$6:B132)</f>
        <v>127</v>
      </c>
      <c r="B132" s="18" t="s">
        <v>185</v>
      </c>
      <c r="C132" s="18" t="s">
        <v>186</v>
      </c>
      <c r="D132" s="21" t="s">
        <v>91</v>
      </c>
      <c r="E132" s="18" t="s">
        <v>183</v>
      </c>
      <c r="F132" s="20">
        <v>44746</v>
      </c>
      <c r="G132" s="18" t="s">
        <v>77</v>
      </c>
      <c r="H132" s="20"/>
      <c r="I132" s="18" t="s">
        <v>17</v>
      </c>
      <c r="J132" s="18" t="s">
        <v>18</v>
      </c>
      <c r="K132" s="21"/>
    </row>
    <row r="133" spans="1:11">
      <c r="A133" s="12">
        <f>_xlfn.AGGREGATE(3,1,$B$6:B133)</f>
        <v>128</v>
      </c>
      <c r="B133" s="13" t="s">
        <v>185</v>
      </c>
      <c r="C133" s="13" t="s">
        <v>186</v>
      </c>
      <c r="D133" s="16" t="s">
        <v>188</v>
      </c>
      <c r="E133" s="13" t="s">
        <v>183</v>
      </c>
      <c r="F133" s="15">
        <v>44746</v>
      </c>
      <c r="G133" s="13" t="s">
        <v>16</v>
      </c>
      <c r="H133" s="15"/>
      <c r="I133" s="13" t="s">
        <v>17</v>
      </c>
      <c r="J133" s="13" t="s">
        <v>18</v>
      </c>
      <c r="K133" s="16"/>
    </row>
    <row r="134" spans="1:11">
      <c r="A134" s="17">
        <f>_xlfn.AGGREGATE(3,1,$B$6:B134)</f>
        <v>129</v>
      </c>
      <c r="B134" s="18" t="s">
        <v>185</v>
      </c>
      <c r="C134" s="18" t="s">
        <v>186</v>
      </c>
      <c r="D134" s="21" t="s">
        <v>189</v>
      </c>
      <c r="E134" s="18" t="s">
        <v>183</v>
      </c>
      <c r="F134" s="20">
        <v>44746</v>
      </c>
      <c r="G134" s="18" t="s">
        <v>16</v>
      </c>
      <c r="H134" s="20"/>
      <c r="I134" s="18" t="s">
        <v>17</v>
      </c>
      <c r="J134" s="18" t="s">
        <v>18</v>
      </c>
      <c r="K134" s="21"/>
    </row>
    <row r="135" spans="1:11">
      <c r="A135" s="12">
        <f>_xlfn.AGGREGATE(3,1,$B$6:B135)</f>
        <v>130</v>
      </c>
      <c r="B135" s="13" t="s">
        <v>190</v>
      </c>
      <c r="C135" s="13" t="s">
        <v>157</v>
      </c>
      <c r="D135" s="16" t="s">
        <v>191</v>
      </c>
      <c r="E135" s="13" t="s">
        <v>183</v>
      </c>
      <c r="F135" s="15">
        <v>44768</v>
      </c>
      <c r="G135" s="13" t="s">
        <v>20</v>
      </c>
      <c r="H135" s="15"/>
      <c r="I135" s="13" t="s">
        <v>17</v>
      </c>
      <c r="J135" s="13" t="s">
        <v>18</v>
      </c>
      <c r="K135" s="16"/>
    </row>
    <row r="136" spans="1:11" ht="28.9">
      <c r="A136" s="17">
        <f>_xlfn.AGGREGATE(3,1,$B$6:B136)</f>
        <v>131</v>
      </c>
      <c r="B136" s="18" t="s">
        <v>190</v>
      </c>
      <c r="C136" s="18" t="s">
        <v>157</v>
      </c>
      <c r="D136" s="21" t="s">
        <v>87</v>
      </c>
      <c r="E136" s="18" t="s">
        <v>183</v>
      </c>
      <c r="F136" s="20">
        <v>44768</v>
      </c>
      <c r="G136" s="18" t="s">
        <v>20</v>
      </c>
      <c r="H136" s="20"/>
      <c r="I136" s="18" t="s">
        <v>17</v>
      </c>
      <c r="J136" s="18" t="s">
        <v>18</v>
      </c>
      <c r="K136" s="21"/>
    </row>
    <row r="137" spans="1:11" ht="57.6">
      <c r="A137" s="12">
        <f>_xlfn.AGGREGATE(3,1,$B$6:B137)</f>
        <v>132</v>
      </c>
      <c r="B137" s="13" t="s">
        <v>190</v>
      </c>
      <c r="C137" s="13" t="s">
        <v>157</v>
      </c>
      <c r="D137" s="16" t="s">
        <v>192</v>
      </c>
      <c r="E137" s="13" t="s">
        <v>183</v>
      </c>
      <c r="F137" s="15">
        <v>44768</v>
      </c>
      <c r="G137" s="13" t="s">
        <v>16</v>
      </c>
      <c r="H137" s="15"/>
      <c r="I137" s="13" t="s">
        <v>17</v>
      </c>
      <c r="J137" s="13" t="s">
        <v>18</v>
      </c>
      <c r="K137" s="16"/>
    </row>
    <row r="138" spans="1:11" ht="28.9">
      <c r="A138" s="17">
        <f>_xlfn.AGGREGATE(3,1,$B$6:B138)</f>
        <v>133</v>
      </c>
      <c r="B138" s="18" t="s">
        <v>190</v>
      </c>
      <c r="C138" s="18" t="s">
        <v>157</v>
      </c>
      <c r="D138" s="21" t="s">
        <v>53</v>
      </c>
      <c r="E138" s="18" t="s">
        <v>183</v>
      </c>
      <c r="F138" s="20">
        <v>44768</v>
      </c>
      <c r="G138" s="18" t="s">
        <v>16</v>
      </c>
      <c r="H138" s="20"/>
      <c r="I138" s="18" t="s">
        <v>17</v>
      </c>
      <c r="J138" s="18" t="s">
        <v>18</v>
      </c>
      <c r="K138" s="21"/>
    </row>
    <row r="139" spans="1:11" ht="43.15">
      <c r="A139" s="12">
        <f>_xlfn.AGGREGATE(3,1,$B$6:B139)</f>
        <v>134</v>
      </c>
      <c r="B139" s="13" t="s">
        <v>190</v>
      </c>
      <c r="C139" s="13" t="s">
        <v>63</v>
      </c>
      <c r="D139" s="16" t="s">
        <v>193</v>
      </c>
      <c r="E139" s="13" t="s">
        <v>183</v>
      </c>
      <c r="F139" s="15">
        <v>44768</v>
      </c>
      <c r="G139" s="13" t="s">
        <v>20</v>
      </c>
      <c r="H139" s="15"/>
      <c r="I139" s="13" t="s">
        <v>17</v>
      </c>
      <c r="J139" s="13" t="s">
        <v>18</v>
      </c>
      <c r="K139" s="16"/>
    </row>
    <row r="140" spans="1:11">
      <c r="A140" s="17">
        <f>_xlfn.AGGREGATE(3,1,$B$6:B140)</f>
        <v>135</v>
      </c>
      <c r="B140" s="18" t="s">
        <v>194</v>
      </c>
      <c r="C140" s="18" t="s">
        <v>144</v>
      </c>
      <c r="D140" s="21" t="s">
        <v>73</v>
      </c>
      <c r="E140" s="18" t="s">
        <v>36</v>
      </c>
      <c r="F140" s="20">
        <v>44769</v>
      </c>
      <c r="G140" s="18" t="s">
        <v>20</v>
      </c>
      <c r="H140" s="20"/>
      <c r="I140" s="18" t="s">
        <v>17</v>
      </c>
      <c r="J140" s="18" t="s">
        <v>18</v>
      </c>
      <c r="K140" s="21"/>
    </row>
    <row r="141" spans="1:11" ht="57.6">
      <c r="A141" s="12">
        <f>_xlfn.AGGREGATE(3,1,$B$6:B141)</f>
        <v>136</v>
      </c>
      <c r="B141" s="13" t="s">
        <v>194</v>
      </c>
      <c r="C141" s="13" t="s">
        <v>144</v>
      </c>
      <c r="D141" s="16" t="s">
        <v>195</v>
      </c>
      <c r="E141" s="13" t="s">
        <v>36</v>
      </c>
      <c r="F141" s="15">
        <v>44769</v>
      </c>
      <c r="G141" s="13" t="s">
        <v>16</v>
      </c>
      <c r="H141" s="15"/>
      <c r="I141" s="13" t="s">
        <v>17</v>
      </c>
      <c r="J141" s="13" t="s">
        <v>18</v>
      </c>
      <c r="K141" s="16"/>
    </row>
    <row r="142" spans="1:11" ht="28.9">
      <c r="A142" s="17">
        <f>_xlfn.AGGREGATE(3,1,$B$6:B142)</f>
        <v>137</v>
      </c>
      <c r="B142" s="18" t="s">
        <v>194</v>
      </c>
      <c r="C142" s="18" t="s">
        <v>13</v>
      </c>
      <c r="D142" s="21" t="s">
        <v>196</v>
      </c>
      <c r="E142" s="18" t="s">
        <v>38</v>
      </c>
      <c r="F142" s="20">
        <v>44769</v>
      </c>
      <c r="G142" s="18" t="s">
        <v>20</v>
      </c>
      <c r="H142" s="20"/>
      <c r="I142" s="18" t="s">
        <v>17</v>
      </c>
      <c r="J142" s="18" t="s">
        <v>18</v>
      </c>
      <c r="K142" s="21"/>
    </row>
    <row r="143" spans="1:11" ht="28.9">
      <c r="A143" s="12">
        <f>_xlfn.AGGREGATE(3,1,$B$6:B143)</f>
        <v>138</v>
      </c>
      <c r="B143" s="13" t="s">
        <v>194</v>
      </c>
      <c r="C143" s="13" t="s">
        <v>136</v>
      </c>
      <c r="D143" s="16" t="s">
        <v>197</v>
      </c>
      <c r="E143" s="13" t="s">
        <v>42</v>
      </c>
      <c r="F143" s="15">
        <v>44769</v>
      </c>
      <c r="G143" s="13" t="s">
        <v>16</v>
      </c>
      <c r="H143" s="15"/>
      <c r="I143" s="13" t="s">
        <v>17</v>
      </c>
      <c r="J143" s="13" t="s">
        <v>18</v>
      </c>
      <c r="K143" s="16"/>
    </row>
    <row r="144" spans="1:11">
      <c r="A144" s="17">
        <f>_xlfn.AGGREGATE(3,1,$B$6:B144)</f>
        <v>139</v>
      </c>
      <c r="B144" s="18" t="s">
        <v>198</v>
      </c>
      <c r="C144" s="18" t="s">
        <v>199</v>
      </c>
      <c r="D144" s="21" t="s">
        <v>200</v>
      </c>
      <c r="E144" s="18" t="s">
        <v>183</v>
      </c>
      <c r="F144" s="20">
        <v>44809</v>
      </c>
      <c r="G144" s="18" t="s">
        <v>20</v>
      </c>
      <c r="H144" s="20"/>
      <c r="I144" s="18" t="s">
        <v>17</v>
      </c>
      <c r="J144" s="18" t="s">
        <v>18</v>
      </c>
      <c r="K144" s="21"/>
    </row>
    <row r="145" spans="1:11">
      <c r="A145" s="12">
        <f>_xlfn.AGGREGATE(3,1,$B$6:B145)</f>
        <v>140</v>
      </c>
      <c r="B145" s="13" t="s">
        <v>198</v>
      </c>
      <c r="C145" s="13" t="s">
        <v>201</v>
      </c>
      <c r="D145" s="16" t="s">
        <v>202</v>
      </c>
      <c r="E145" s="13" t="s">
        <v>183</v>
      </c>
      <c r="F145" s="15">
        <v>44809</v>
      </c>
      <c r="G145" s="13" t="s">
        <v>16</v>
      </c>
      <c r="H145" s="15"/>
      <c r="I145" s="13" t="s">
        <v>17</v>
      </c>
      <c r="J145" s="13" t="s">
        <v>18</v>
      </c>
      <c r="K145" s="16"/>
    </row>
    <row r="146" spans="1:11">
      <c r="A146" s="17">
        <f>_xlfn.AGGREGATE(3,1,$B$6:B146)</f>
        <v>141</v>
      </c>
      <c r="B146" s="18" t="s">
        <v>198</v>
      </c>
      <c r="C146" s="18" t="s">
        <v>140</v>
      </c>
      <c r="D146" s="21" t="s">
        <v>131</v>
      </c>
      <c r="E146" s="18" t="s">
        <v>183</v>
      </c>
      <c r="F146" s="20">
        <v>44809</v>
      </c>
      <c r="G146" s="18" t="s">
        <v>77</v>
      </c>
      <c r="H146" s="20"/>
      <c r="I146" s="18" t="s">
        <v>17</v>
      </c>
      <c r="J146" s="18" t="s">
        <v>18</v>
      </c>
      <c r="K146" s="21"/>
    </row>
    <row r="147" spans="1:11" ht="43.15">
      <c r="A147" s="12">
        <f>_xlfn.AGGREGATE(3,1,$B$6:B147)</f>
        <v>142</v>
      </c>
      <c r="B147" s="13" t="s">
        <v>198</v>
      </c>
      <c r="C147" s="13" t="s">
        <v>47</v>
      </c>
      <c r="D147" s="16" t="s">
        <v>203</v>
      </c>
      <c r="E147" s="13" t="s">
        <v>183</v>
      </c>
      <c r="F147" s="15">
        <v>44809</v>
      </c>
      <c r="G147" s="13" t="s">
        <v>16</v>
      </c>
      <c r="H147" s="15"/>
      <c r="I147" s="13" t="s">
        <v>26</v>
      </c>
      <c r="J147" s="13" t="s">
        <v>18</v>
      </c>
      <c r="K147" s="16"/>
    </row>
    <row r="148" spans="1:11" ht="28.9">
      <c r="A148" s="17">
        <f>_xlfn.AGGREGATE(3,1,$B$6:B148)</f>
        <v>143</v>
      </c>
      <c r="B148" s="18" t="s">
        <v>204</v>
      </c>
      <c r="C148" s="18" t="s">
        <v>116</v>
      </c>
      <c r="D148" s="21" t="s">
        <v>205</v>
      </c>
      <c r="E148" s="18" t="s">
        <v>15</v>
      </c>
      <c r="F148" s="20">
        <v>44816</v>
      </c>
      <c r="G148" s="18" t="s">
        <v>16</v>
      </c>
      <c r="H148" s="20">
        <v>44849</v>
      </c>
      <c r="I148" s="18" t="s">
        <v>17</v>
      </c>
      <c r="J148" s="18" t="s">
        <v>18</v>
      </c>
      <c r="K148" s="21"/>
    </row>
    <row r="149" spans="1:11">
      <c r="A149" s="12">
        <f>_xlfn.AGGREGATE(3,1,$B$6:B149)</f>
        <v>144</v>
      </c>
      <c r="B149" s="13" t="s">
        <v>204</v>
      </c>
      <c r="C149" s="13" t="s">
        <v>116</v>
      </c>
      <c r="D149" s="16" t="s">
        <v>206</v>
      </c>
      <c r="E149" s="13" t="s">
        <v>15</v>
      </c>
      <c r="F149" s="15">
        <v>44816</v>
      </c>
      <c r="G149" s="13" t="s">
        <v>77</v>
      </c>
      <c r="H149" s="15">
        <v>44849</v>
      </c>
      <c r="I149" s="13" t="s">
        <v>17</v>
      </c>
      <c r="J149" s="13" t="s">
        <v>18</v>
      </c>
      <c r="K149" s="16"/>
    </row>
    <row r="150" spans="1:11" ht="28.9">
      <c r="A150" s="17">
        <f>_xlfn.AGGREGATE(3,1,$B$6:B150)</f>
        <v>145</v>
      </c>
      <c r="B150" s="18" t="s">
        <v>204</v>
      </c>
      <c r="C150" s="18" t="s">
        <v>207</v>
      </c>
      <c r="D150" s="21" t="s">
        <v>208</v>
      </c>
      <c r="E150" s="18" t="s">
        <v>30</v>
      </c>
      <c r="F150" s="20">
        <v>44816</v>
      </c>
      <c r="G150" s="18" t="s">
        <v>16</v>
      </c>
      <c r="H150" s="20">
        <v>44849</v>
      </c>
      <c r="I150" s="18" t="s">
        <v>17</v>
      </c>
      <c r="J150" s="18" t="s">
        <v>18</v>
      </c>
      <c r="K150" s="21"/>
    </row>
    <row r="151" spans="1:11">
      <c r="A151" s="12">
        <f>_xlfn.AGGREGATE(3,1,$B$6:B151)</f>
        <v>146</v>
      </c>
      <c r="B151" s="13" t="s">
        <v>204</v>
      </c>
      <c r="C151" s="13" t="s">
        <v>47</v>
      </c>
      <c r="D151" s="16" t="s">
        <v>209</v>
      </c>
      <c r="E151" s="13" t="s">
        <v>15</v>
      </c>
      <c r="F151" s="15">
        <v>44816</v>
      </c>
      <c r="G151" s="13" t="s">
        <v>16</v>
      </c>
      <c r="H151" s="15"/>
      <c r="I151" s="13" t="s">
        <v>26</v>
      </c>
      <c r="J151" s="13" t="s">
        <v>18</v>
      </c>
      <c r="K151" s="16" t="s">
        <v>210</v>
      </c>
    </row>
    <row r="152" spans="1:11" ht="28.9">
      <c r="A152" s="17">
        <f>_xlfn.AGGREGATE(3,1,$B$6:B152)</f>
        <v>147</v>
      </c>
      <c r="B152" s="18" t="s">
        <v>204</v>
      </c>
      <c r="C152" s="18" t="s">
        <v>47</v>
      </c>
      <c r="D152" s="21" t="s">
        <v>211</v>
      </c>
      <c r="E152" s="18" t="s">
        <v>15</v>
      </c>
      <c r="F152" s="20">
        <v>44816</v>
      </c>
      <c r="G152" s="18" t="s">
        <v>16</v>
      </c>
      <c r="H152" s="20"/>
      <c r="I152" s="18" t="s">
        <v>26</v>
      </c>
      <c r="J152" s="18" t="s">
        <v>18</v>
      </c>
      <c r="K152" s="21"/>
    </row>
    <row r="153" spans="1:11">
      <c r="A153" s="12">
        <f>_xlfn.AGGREGATE(3,1,$B$6:B153)</f>
        <v>148</v>
      </c>
      <c r="B153" s="13" t="s">
        <v>204</v>
      </c>
      <c r="C153" s="13" t="s">
        <v>47</v>
      </c>
      <c r="D153" s="16" t="s">
        <v>209</v>
      </c>
      <c r="E153" s="13" t="s">
        <v>30</v>
      </c>
      <c r="F153" s="15">
        <v>44816</v>
      </c>
      <c r="G153" s="13" t="s">
        <v>16</v>
      </c>
      <c r="H153" s="15"/>
      <c r="I153" s="13" t="s">
        <v>26</v>
      </c>
      <c r="J153" s="13" t="s">
        <v>18</v>
      </c>
      <c r="K153" s="16" t="s">
        <v>210</v>
      </c>
    </row>
    <row r="154" spans="1:11" ht="43.15">
      <c r="A154" s="17">
        <f>_xlfn.AGGREGATE(3,1,$B6:B$154)</f>
        <v>149</v>
      </c>
      <c r="B154" s="18" t="s">
        <v>212</v>
      </c>
      <c r="C154" s="18" t="s">
        <v>47</v>
      </c>
      <c r="D154" s="21" t="s">
        <v>213</v>
      </c>
      <c r="E154" s="18" t="s">
        <v>183</v>
      </c>
      <c r="F154" s="20">
        <v>44824</v>
      </c>
      <c r="G154" s="18" t="s">
        <v>16</v>
      </c>
      <c r="H154" s="20"/>
      <c r="I154" s="18" t="s">
        <v>214</v>
      </c>
      <c r="J154" s="18" t="s">
        <v>18</v>
      </c>
      <c r="K154" s="21" t="s">
        <v>215</v>
      </c>
    </row>
    <row r="155" spans="1:11" ht="28.9">
      <c r="A155" s="12">
        <f>_xlfn.AGGREGATE(3,1,$B$6:B155)</f>
        <v>150</v>
      </c>
      <c r="B155" s="13" t="s">
        <v>212</v>
      </c>
      <c r="C155" s="13" t="s">
        <v>47</v>
      </c>
      <c r="D155" s="16" t="s">
        <v>216</v>
      </c>
      <c r="E155" s="13" t="s">
        <v>183</v>
      </c>
      <c r="F155" s="15">
        <v>44824</v>
      </c>
      <c r="G155" s="13" t="s">
        <v>16</v>
      </c>
      <c r="H155" s="15"/>
      <c r="I155" s="13" t="s">
        <v>62</v>
      </c>
      <c r="J155" s="13" t="s">
        <v>18</v>
      </c>
      <c r="K155" s="16" t="s">
        <v>215</v>
      </c>
    </row>
    <row r="156" spans="1:11" ht="28.9">
      <c r="A156" s="17">
        <f>_xlfn.AGGREGATE(3,1,$B$6:B156)</f>
        <v>151</v>
      </c>
      <c r="B156" s="18" t="s">
        <v>212</v>
      </c>
      <c r="C156" s="18" t="s">
        <v>47</v>
      </c>
      <c r="D156" s="21" t="s">
        <v>217</v>
      </c>
      <c r="E156" s="18" t="s">
        <v>183</v>
      </c>
      <c r="F156" s="20">
        <v>44824</v>
      </c>
      <c r="G156" s="18" t="s">
        <v>16</v>
      </c>
      <c r="H156" s="20"/>
      <c r="I156" s="18" t="s">
        <v>17</v>
      </c>
      <c r="J156" s="18" t="s">
        <v>18</v>
      </c>
      <c r="K156" s="21"/>
    </row>
    <row r="157" spans="1:11" ht="43.15">
      <c r="A157" s="12">
        <f>_xlfn.AGGREGATE(3,1,$B$6:B157)</f>
        <v>152</v>
      </c>
      <c r="B157" s="13" t="s">
        <v>212</v>
      </c>
      <c r="C157" s="13" t="s">
        <v>47</v>
      </c>
      <c r="D157" s="16" t="s">
        <v>218</v>
      </c>
      <c r="E157" s="13" t="s">
        <v>183</v>
      </c>
      <c r="F157" s="15">
        <v>44824</v>
      </c>
      <c r="G157" s="13" t="s">
        <v>20</v>
      </c>
      <c r="H157" s="15"/>
      <c r="I157" s="13" t="s">
        <v>17</v>
      </c>
      <c r="J157" s="13" t="s">
        <v>18</v>
      </c>
      <c r="K157" s="16"/>
    </row>
    <row r="158" spans="1:11" ht="43.15">
      <c r="A158" s="17">
        <f>_xlfn.AGGREGATE(3,1,$B$6:B158)</f>
        <v>153</v>
      </c>
      <c r="B158" s="18" t="s">
        <v>212</v>
      </c>
      <c r="C158" s="18" t="s">
        <v>47</v>
      </c>
      <c r="D158" s="21" t="s">
        <v>219</v>
      </c>
      <c r="E158" s="18" t="s">
        <v>183</v>
      </c>
      <c r="F158" s="20">
        <v>44824</v>
      </c>
      <c r="G158" s="18" t="s">
        <v>20</v>
      </c>
      <c r="H158" s="20"/>
      <c r="I158" s="18" t="s">
        <v>17</v>
      </c>
      <c r="J158" s="18" t="s">
        <v>18</v>
      </c>
      <c r="K158" s="21"/>
    </row>
    <row r="159" spans="1:11" ht="28.9">
      <c r="A159" s="12">
        <f>_xlfn.AGGREGATE(3,1,$B$6:B159)</f>
        <v>154</v>
      </c>
      <c r="B159" s="13" t="s">
        <v>212</v>
      </c>
      <c r="C159" s="13" t="s">
        <v>40</v>
      </c>
      <c r="D159" s="16" t="s">
        <v>220</v>
      </c>
      <c r="E159" s="13" t="s">
        <v>183</v>
      </c>
      <c r="F159" s="15">
        <v>44824</v>
      </c>
      <c r="G159" s="13" t="s">
        <v>20</v>
      </c>
      <c r="H159" s="15"/>
      <c r="I159" s="13" t="s">
        <v>17</v>
      </c>
      <c r="J159" s="13" t="s">
        <v>18</v>
      </c>
      <c r="K159" s="16"/>
    </row>
    <row r="160" spans="1:11">
      <c r="A160" s="17">
        <f>_xlfn.AGGREGATE(3,1,$B$6:B160)</f>
        <v>155</v>
      </c>
      <c r="B160" s="18" t="s">
        <v>212</v>
      </c>
      <c r="C160" s="18" t="s">
        <v>199</v>
      </c>
      <c r="D160" s="21" t="s">
        <v>221</v>
      </c>
      <c r="E160" s="18" t="s">
        <v>183</v>
      </c>
      <c r="F160" s="20">
        <v>44824</v>
      </c>
      <c r="G160" s="18" t="s">
        <v>16</v>
      </c>
      <c r="H160" s="20"/>
      <c r="I160" s="18" t="s">
        <v>17</v>
      </c>
      <c r="J160" s="18" t="s">
        <v>18</v>
      </c>
      <c r="K160" s="21"/>
    </row>
    <row r="161" spans="1:11">
      <c r="A161" s="12">
        <f>_xlfn.AGGREGATE(3,1,$B$6:B161)</f>
        <v>156</v>
      </c>
      <c r="B161" s="13" t="s">
        <v>212</v>
      </c>
      <c r="C161" s="13" t="s">
        <v>199</v>
      </c>
      <c r="D161" s="16" t="s">
        <v>222</v>
      </c>
      <c r="E161" s="13" t="s">
        <v>183</v>
      </c>
      <c r="F161" s="15">
        <v>44824</v>
      </c>
      <c r="G161" s="13" t="s">
        <v>16</v>
      </c>
      <c r="H161" s="15"/>
      <c r="I161" s="13" t="s">
        <v>17</v>
      </c>
      <c r="J161" s="13" t="s">
        <v>18</v>
      </c>
      <c r="K161" s="16" t="s">
        <v>223</v>
      </c>
    </row>
    <row r="162" spans="1:11" ht="43.15">
      <c r="A162" s="17">
        <f>_xlfn.AGGREGATE(3,1,$B$6:B162)</f>
        <v>157</v>
      </c>
      <c r="B162" s="18" t="s">
        <v>212</v>
      </c>
      <c r="C162" s="18" t="s">
        <v>199</v>
      </c>
      <c r="D162" s="21" t="s">
        <v>224</v>
      </c>
      <c r="E162" s="18" t="s">
        <v>183</v>
      </c>
      <c r="F162" s="20">
        <v>44824</v>
      </c>
      <c r="G162" s="18" t="s">
        <v>16</v>
      </c>
      <c r="H162" s="20"/>
      <c r="I162" s="18" t="s">
        <v>17</v>
      </c>
      <c r="J162" s="18" t="s">
        <v>18</v>
      </c>
      <c r="K162" s="21" t="s">
        <v>225</v>
      </c>
    </row>
    <row r="163" spans="1:11" ht="28.9">
      <c r="A163" s="12">
        <f>_xlfn.AGGREGATE(3,1,$B$6:B163)</f>
        <v>158</v>
      </c>
      <c r="B163" s="13" t="s">
        <v>212</v>
      </c>
      <c r="C163" s="13" t="s">
        <v>47</v>
      </c>
      <c r="D163" s="16" t="s">
        <v>226</v>
      </c>
      <c r="E163" s="13" t="s">
        <v>183</v>
      </c>
      <c r="F163" s="15">
        <v>44824</v>
      </c>
      <c r="G163" s="13" t="s">
        <v>16</v>
      </c>
      <c r="H163" s="15"/>
      <c r="I163" s="13" t="s">
        <v>17</v>
      </c>
      <c r="J163" s="13" t="s">
        <v>18</v>
      </c>
      <c r="K163" s="16" t="s">
        <v>227</v>
      </c>
    </row>
    <row r="164" spans="1:11" ht="43.15">
      <c r="A164" s="17">
        <f>_xlfn.AGGREGATE(3,1,$B$6:B164)</f>
        <v>159</v>
      </c>
      <c r="B164" s="18" t="s">
        <v>212</v>
      </c>
      <c r="C164" s="18" t="s">
        <v>47</v>
      </c>
      <c r="D164" s="21" t="s">
        <v>228</v>
      </c>
      <c r="E164" s="18" t="s">
        <v>183</v>
      </c>
      <c r="F164" s="20">
        <v>44824</v>
      </c>
      <c r="G164" s="18" t="s">
        <v>16</v>
      </c>
      <c r="H164" s="20"/>
      <c r="I164" s="18" t="s">
        <v>17</v>
      </c>
      <c r="J164" s="18" t="s">
        <v>18</v>
      </c>
      <c r="K164" s="21" t="s">
        <v>227</v>
      </c>
    </row>
    <row r="165" spans="1:11" ht="28.9">
      <c r="A165" s="12">
        <f>_xlfn.AGGREGATE(3,1,$B$6:B165)</f>
        <v>160</v>
      </c>
      <c r="B165" s="13" t="s">
        <v>212</v>
      </c>
      <c r="C165" s="13" t="s">
        <v>47</v>
      </c>
      <c r="D165" s="16" t="s">
        <v>229</v>
      </c>
      <c r="E165" s="13" t="s">
        <v>183</v>
      </c>
      <c r="F165" s="15">
        <v>44824</v>
      </c>
      <c r="G165" s="13" t="s">
        <v>16</v>
      </c>
      <c r="H165" s="15"/>
      <c r="I165" s="13" t="s">
        <v>26</v>
      </c>
      <c r="J165" s="13" t="s">
        <v>18</v>
      </c>
      <c r="K165" s="16" t="s">
        <v>230</v>
      </c>
    </row>
    <row r="166" spans="1:11" ht="57.6">
      <c r="A166" s="17">
        <f>_xlfn.AGGREGATE(3,1,$B$6:B166)</f>
        <v>161</v>
      </c>
      <c r="B166" s="18" t="s">
        <v>212</v>
      </c>
      <c r="C166" s="18" t="s">
        <v>47</v>
      </c>
      <c r="D166" s="21" t="s">
        <v>231</v>
      </c>
      <c r="E166" s="18" t="s">
        <v>183</v>
      </c>
      <c r="F166" s="20">
        <v>44824</v>
      </c>
      <c r="G166" s="18" t="s">
        <v>16</v>
      </c>
      <c r="H166" s="20"/>
      <c r="I166" s="18" t="s">
        <v>26</v>
      </c>
      <c r="J166" s="18" t="s">
        <v>18</v>
      </c>
      <c r="K166" s="21" t="s">
        <v>232</v>
      </c>
    </row>
    <row r="167" spans="1:11" ht="28.9">
      <c r="A167" s="12">
        <f>_xlfn.AGGREGATE(3,1,$B$6:B167)</f>
        <v>162</v>
      </c>
      <c r="B167" s="13" t="s">
        <v>212</v>
      </c>
      <c r="C167" s="13" t="s">
        <v>47</v>
      </c>
      <c r="D167" s="16" t="s">
        <v>233</v>
      </c>
      <c r="E167" s="13" t="s">
        <v>183</v>
      </c>
      <c r="F167" s="15">
        <v>44824</v>
      </c>
      <c r="G167" s="13" t="s">
        <v>20</v>
      </c>
      <c r="H167" s="15"/>
      <c r="I167" s="13" t="s">
        <v>26</v>
      </c>
      <c r="J167" s="13" t="s">
        <v>18</v>
      </c>
      <c r="K167" s="16" t="s">
        <v>234</v>
      </c>
    </row>
    <row r="168" spans="1:11">
      <c r="A168" s="17">
        <f>_xlfn.AGGREGATE(3,1,$B$6:B168)</f>
        <v>163</v>
      </c>
      <c r="B168" s="18" t="s">
        <v>235</v>
      </c>
      <c r="C168" s="18" t="s">
        <v>116</v>
      </c>
      <c r="D168" s="21" t="s">
        <v>236</v>
      </c>
      <c r="E168" s="18" t="s">
        <v>38</v>
      </c>
      <c r="F168" s="20">
        <v>44834</v>
      </c>
      <c r="G168" s="18" t="s">
        <v>77</v>
      </c>
      <c r="H168" s="20"/>
      <c r="I168" s="18" t="s">
        <v>17</v>
      </c>
      <c r="J168" s="18" t="s">
        <v>18</v>
      </c>
      <c r="K168" s="21" t="s">
        <v>237</v>
      </c>
    </row>
    <row r="169" spans="1:11">
      <c r="A169" s="12">
        <f>_xlfn.AGGREGATE(3,1,$B$6:B169)</f>
        <v>164</v>
      </c>
      <c r="B169" s="13" t="s">
        <v>235</v>
      </c>
      <c r="C169" s="13" t="s">
        <v>116</v>
      </c>
      <c r="D169" s="16" t="s">
        <v>238</v>
      </c>
      <c r="E169" s="13" t="s">
        <v>38</v>
      </c>
      <c r="F169" s="15">
        <v>44834</v>
      </c>
      <c r="G169" s="13" t="s">
        <v>16</v>
      </c>
      <c r="H169" s="15"/>
      <c r="I169" s="13" t="s">
        <v>17</v>
      </c>
      <c r="J169" s="13" t="s">
        <v>18</v>
      </c>
      <c r="K169" s="16" t="s">
        <v>239</v>
      </c>
    </row>
    <row r="170" spans="1:11" ht="43.15">
      <c r="A170" s="17">
        <f>_xlfn.AGGREGATE(3,1,$B$6:B170)</f>
        <v>165</v>
      </c>
      <c r="B170" s="18" t="s">
        <v>235</v>
      </c>
      <c r="C170" s="18" t="s">
        <v>116</v>
      </c>
      <c r="D170" s="21" t="s">
        <v>240</v>
      </c>
      <c r="E170" s="18" t="s">
        <v>38</v>
      </c>
      <c r="F170" s="20">
        <v>44834</v>
      </c>
      <c r="G170" s="18" t="s">
        <v>20</v>
      </c>
      <c r="H170" s="20"/>
      <c r="I170" s="18" t="s">
        <v>17</v>
      </c>
      <c r="J170" s="18" t="s">
        <v>18</v>
      </c>
      <c r="K170" s="21"/>
    </row>
    <row r="171" spans="1:11">
      <c r="A171" s="12">
        <f>_xlfn.AGGREGATE(3,1,$B$6:B171)</f>
        <v>166</v>
      </c>
      <c r="B171" s="13" t="s">
        <v>235</v>
      </c>
      <c r="C171" s="13" t="s">
        <v>93</v>
      </c>
      <c r="D171" s="16" t="s">
        <v>241</v>
      </c>
      <c r="E171" s="13" t="s">
        <v>42</v>
      </c>
      <c r="F171" s="15">
        <v>44834</v>
      </c>
      <c r="G171" s="13" t="s">
        <v>16</v>
      </c>
      <c r="H171" s="15"/>
      <c r="I171" s="13" t="s">
        <v>17</v>
      </c>
      <c r="J171" s="13" t="s">
        <v>18</v>
      </c>
      <c r="K171" s="16" t="s">
        <v>239</v>
      </c>
    </row>
    <row r="172" spans="1:11">
      <c r="A172" s="17">
        <f>_xlfn.AGGREGATE(3,1,$B$6:B172)</f>
        <v>167</v>
      </c>
      <c r="B172" s="18" t="s">
        <v>235</v>
      </c>
      <c r="C172" s="18" t="s">
        <v>93</v>
      </c>
      <c r="D172" s="21" t="s">
        <v>242</v>
      </c>
      <c r="E172" s="18" t="s">
        <v>42</v>
      </c>
      <c r="F172" s="20">
        <v>44834</v>
      </c>
      <c r="G172" s="18" t="s">
        <v>77</v>
      </c>
      <c r="H172" s="20"/>
      <c r="I172" s="18" t="s">
        <v>17</v>
      </c>
      <c r="J172" s="18" t="s">
        <v>18</v>
      </c>
      <c r="K172" s="21" t="s">
        <v>239</v>
      </c>
    </row>
    <row r="173" spans="1:11" ht="28.9">
      <c r="A173" s="12">
        <f>_xlfn.AGGREGATE(3,1,$B$6:B173)</f>
        <v>168</v>
      </c>
      <c r="B173" s="13" t="s">
        <v>235</v>
      </c>
      <c r="C173" s="13" t="s">
        <v>93</v>
      </c>
      <c r="D173" s="16" t="s">
        <v>243</v>
      </c>
      <c r="E173" s="13" t="s">
        <v>42</v>
      </c>
      <c r="F173" s="15">
        <v>44834</v>
      </c>
      <c r="G173" s="13" t="s">
        <v>77</v>
      </c>
      <c r="H173" s="15"/>
      <c r="I173" s="13" t="s">
        <v>17</v>
      </c>
      <c r="J173" s="13" t="s">
        <v>18</v>
      </c>
      <c r="K173" s="16" t="s">
        <v>239</v>
      </c>
    </row>
    <row r="174" spans="1:11" ht="43.15">
      <c r="A174" s="17">
        <f>_xlfn.AGGREGATE(3,1,$B$6:B174)</f>
        <v>169</v>
      </c>
      <c r="B174" s="18" t="s">
        <v>235</v>
      </c>
      <c r="C174" s="18" t="s">
        <v>47</v>
      </c>
      <c r="D174" s="21" t="s">
        <v>244</v>
      </c>
      <c r="E174" s="18" t="s">
        <v>36</v>
      </c>
      <c r="F174" s="20">
        <v>44834</v>
      </c>
      <c r="G174" s="18" t="s">
        <v>20</v>
      </c>
      <c r="H174" s="20"/>
      <c r="I174" s="18" t="s">
        <v>26</v>
      </c>
      <c r="J174" s="18" t="s">
        <v>18</v>
      </c>
      <c r="K174" s="21"/>
    </row>
    <row r="175" spans="1:11" ht="57.6">
      <c r="A175" s="12">
        <f>_xlfn.AGGREGATE(3,1,$B$6:B175)</f>
        <v>170</v>
      </c>
      <c r="B175" s="13" t="s">
        <v>235</v>
      </c>
      <c r="C175" s="13" t="s">
        <v>47</v>
      </c>
      <c r="D175" s="16" t="s">
        <v>245</v>
      </c>
      <c r="E175" s="13" t="s">
        <v>120</v>
      </c>
      <c r="F175" s="15">
        <v>44834</v>
      </c>
      <c r="G175" s="13" t="s">
        <v>16</v>
      </c>
      <c r="H175" s="15"/>
      <c r="I175" s="13" t="s">
        <v>246</v>
      </c>
      <c r="J175" s="13" t="s">
        <v>18</v>
      </c>
      <c r="K175" s="16" t="s">
        <v>215</v>
      </c>
    </row>
    <row r="176" spans="1:11" ht="57.6">
      <c r="A176" s="17">
        <f>_xlfn.AGGREGATE(3,1,$B$6:B176)</f>
        <v>171</v>
      </c>
      <c r="B176" s="18" t="s">
        <v>235</v>
      </c>
      <c r="C176" s="18" t="s">
        <v>47</v>
      </c>
      <c r="D176" s="21" t="s">
        <v>247</v>
      </c>
      <c r="E176" s="18" t="s">
        <v>120</v>
      </c>
      <c r="F176" s="20">
        <v>44834</v>
      </c>
      <c r="G176" s="18" t="s">
        <v>16</v>
      </c>
      <c r="H176" s="20"/>
      <c r="I176" s="18" t="s">
        <v>246</v>
      </c>
      <c r="J176" s="18" t="s">
        <v>18</v>
      </c>
      <c r="K176" s="21" t="s">
        <v>215</v>
      </c>
    </row>
    <row r="177" spans="1:11" ht="28.9">
      <c r="A177" s="12">
        <f>_xlfn.AGGREGATE(3,1,$B$6:B177)</f>
        <v>172</v>
      </c>
      <c r="B177" s="13" t="s">
        <v>235</v>
      </c>
      <c r="C177" s="13" t="s">
        <v>47</v>
      </c>
      <c r="D177" s="16" t="s">
        <v>248</v>
      </c>
      <c r="E177" s="13" t="s">
        <v>120</v>
      </c>
      <c r="F177" s="15">
        <v>44834</v>
      </c>
      <c r="G177" s="13" t="s">
        <v>16</v>
      </c>
      <c r="H177" s="15"/>
      <c r="I177" s="13" t="s">
        <v>246</v>
      </c>
      <c r="J177" s="13" t="s">
        <v>18</v>
      </c>
      <c r="K177" s="16" t="s">
        <v>215</v>
      </c>
    </row>
    <row r="178" spans="1:11" ht="43.15">
      <c r="A178" s="17">
        <f>_xlfn.AGGREGATE(3,1,$B$6:B178)</f>
        <v>173</v>
      </c>
      <c r="B178" s="18" t="s">
        <v>235</v>
      </c>
      <c r="C178" s="18" t="s">
        <v>47</v>
      </c>
      <c r="D178" s="21" t="s">
        <v>249</v>
      </c>
      <c r="E178" s="18" t="s">
        <v>120</v>
      </c>
      <c r="F178" s="20">
        <v>44834</v>
      </c>
      <c r="G178" s="18" t="s">
        <v>16</v>
      </c>
      <c r="H178" s="20"/>
      <c r="I178" s="18" t="s">
        <v>246</v>
      </c>
      <c r="J178" s="18" t="s">
        <v>18</v>
      </c>
      <c r="K178" s="21" t="s">
        <v>215</v>
      </c>
    </row>
    <row r="179" spans="1:11" ht="28.9">
      <c r="A179" s="12">
        <f>_xlfn.AGGREGATE(3,1,$B$6:B179)</f>
        <v>174</v>
      </c>
      <c r="B179" s="13" t="s">
        <v>235</v>
      </c>
      <c r="C179" s="13" t="s">
        <v>47</v>
      </c>
      <c r="D179" s="16" t="s">
        <v>250</v>
      </c>
      <c r="E179" s="13" t="s">
        <v>120</v>
      </c>
      <c r="F179" s="15">
        <v>44834</v>
      </c>
      <c r="G179" s="13" t="s">
        <v>20</v>
      </c>
      <c r="H179" s="15"/>
      <c r="I179" s="13" t="s">
        <v>246</v>
      </c>
      <c r="J179" s="13" t="s">
        <v>18</v>
      </c>
      <c r="K179" s="16" t="s">
        <v>215</v>
      </c>
    </row>
    <row r="180" spans="1:11" ht="28.9">
      <c r="A180" s="17">
        <f>_xlfn.AGGREGATE(3,1,$B$6:B180)</f>
        <v>175</v>
      </c>
      <c r="B180" s="18" t="s">
        <v>251</v>
      </c>
      <c r="C180" s="18" t="s">
        <v>75</v>
      </c>
      <c r="D180" s="21" t="s">
        <v>252</v>
      </c>
      <c r="E180" s="18" t="s">
        <v>56</v>
      </c>
      <c r="F180" s="20">
        <v>44837</v>
      </c>
      <c r="G180" s="18" t="s">
        <v>16</v>
      </c>
      <c r="H180" s="20"/>
      <c r="I180" s="18" t="s">
        <v>17</v>
      </c>
      <c r="J180" s="18" t="s">
        <v>18</v>
      </c>
      <c r="K180" s="21" t="s">
        <v>253</v>
      </c>
    </row>
    <row r="181" spans="1:11" ht="28.9">
      <c r="A181" s="12">
        <f>_xlfn.AGGREGATE(3,1,$B$6:B181)</f>
        <v>176</v>
      </c>
      <c r="B181" s="13" t="s">
        <v>251</v>
      </c>
      <c r="C181" s="13" t="s">
        <v>75</v>
      </c>
      <c r="D181" s="16" t="s">
        <v>254</v>
      </c>
      <c r="E181" s="13" t="s">
        <v>56</v>
      </c>
      <c r="F181" s="15">
        <v>44837</v>
      </c>
      <c r="G181" s="13" t="s">
        <v>20</v>
      </c>
      <c r="H181" s="15"/>
      <c r="I181" s="13" t="s">
        <v>17</v>
      </c>
      <c r="J181" s="13" t="s">
        <v>18</v>
      </c>
      <c r="K181" s="16" t="s">
        <v>239</v>
      </c>
    </row>
    <row r="182" spans="1:11" ht="28.9">
      <c r="A182" s="17">
        <f>_xlfn.AGGREGATE(3,1,$B$6:B182)</f>
        <v>177</v>
      </c>
      <c r="B182" s="18" t="s">
        <v>251</v>
      </c>
      <c r="C182" s="18" t="s">
        <v>75</v>
      </c>
      <c r="D182" s="21" t="s">
        <v>255</v>
      </c>
      <c r="E182" s="18" t="s">
        <v>56</v>
      </c>
      <c r="F182" s="20">
        <v>44837</v>
      </c>
      <c r="G182" s="18" t="s">
        <v>20</v>
      </c>
      <c r="H182" s="20"/>
      <c r="I182" s="18" t="s">
        <v>17</v>
      </c>
      <c r="J182" s="18" t="s">
        <v>18</v>
      </c>
      <c r="K182" s="21" t="s">
        <v>239</v>
      </c>
    </row>
    <row r="183" spans="1:11" ht="28.9">
      <c r="A183" s="12">
        <f>_xlfn.AGGREGATE(3,1,$B$6:B183)</f>
        <v>178</v>
      </c>
      <c r="B183" s="13" t="s">
        <v>251</v>
      </c>
      <c r="C183" s="13" t="s">
        <v>47</v>
      </c>
      <c r="D183" s="16" t="s">
        <v>256</v>
      </c>
      <c r="E183" s="13" t="s">
        <v>56</v>
      </c>
      <c r="F183" s="15">
        <v>44837</v>
      </c>
      <c r="G183" s="13" t="s">
        <v>20</v>
      </c>
      <c r="H183" s="15"/>
      <c r="I183" s="13" t="s">
        <v>26</v>
      </c>
      <c r="J183" s="13" t="s">
        <v>18</v>
      </c>
      <c r="K183" s="16" t="s">
        <v>257</v>
      </c>
    </row>
    <row r="184" spans="1:11" ht="43.15">
      <c r="A184" s="17">
        <f>_xlfn.AGGREGATE(3,1,$B$6:B184)</f>
        <v>179</v>
      </c>
      <c r="B184" s="18" t="s">
        <v>251</v>
      </c>
      <c r="C184" s="18" t="s">
        <v>47</v>
      </c>
      <c r="D184" s="21" t="s">
        <v>258</v>
      </c>
      <c r="E184" s="18" t="s">
        <v>259</v>
      </c>
      <c r="F184" s="20">
        <v>44837</v>
      </c>
      <c r="G184" s="18" t="s">
        <v>16</v>
      </c>
      <c r="H184" s="20"/>
      <c r="I184" s="18" t="s">
        <v>26</v>
      </c>
      <c r="J184" s="18" t="s">
        <v>18</v>
      </c>
      <c r="K184" s="21"/>
    </row>
    <row r="185" spans="1:11" ht="28.9">
      <c r="A185" s="12">
        <f>_xlfn.AGGREGATE(3,1,$B$6:B185)</f>
        <v>180</v>
      </c>
      <c r="B185" s="13" t="s">
        <v>251</v>
      </c>
      <c r="C185" s="13" t="s">
        <v>47</v>
      </c>
      <c r="D185" s="16" t="s">
        <v>260</v>
      </c>
      <c r="E185" s="13" t="s">
        <v>259</v>
      </c>
      <c r="F185" s="15">
        <v>44837</v>
      </c>
      <c r="G185" s="13" t="s">
        <v>16</v>
      </c>
      <c r="H185" s="15"/>
      <c r="I185" s="13" t="s">
        <v>26</v>
      </c>
      <c r="J185" s="13" t="s">
        <v>18</v>
      </c>
      <c r="K185" s="16" t="s">
        <v>210</v>
      </c>
    </row>
    <row r="186" spans="1:11" ht="28.9">
      <c r="A186" s="17">
        <f>_xlfn.AGGREGATE(3,1,$B$6:B186)</f>
        <v>181</v>
      </c>
      <c r="B186" s="18" t="s">
        <v>261</v>
      </c>
      <c r="C186" s="18" t="s">
        <v>70</v>
      </c>
      <c r="D186" s="21" t="s">
        <v>262</v>
      </c>
      <c r="E186" s="18" t="s">
        <v>183</v>
      </c>
      <c r="F186" s="20">
        <v>44854</v>
      </c>
      <c r="G186" s="18" t="s">
        <v>20</v>
      </c>
      <c r="H186" s="20"/>
      <c r="I186" s="18" t="s">
        <v>17</v>
      </c>
      <c r="J186" s="18" t="s">
        <v>18</v>
      </c>
      <c r="K186" s="21" t="s">
        <v>239</v>
      </c>
    </row>
    <row r="187" spans="1:11" ht="28.9">
      <c r="A187" s="12">
        <f>_xlfn.AGGREGATE(3,1,$B$6:B187)</f>
        <v>182</v>
      </c>
      <c r="B187" s="13" t="s">
        <v>261</v>
      </c>
      <c r="C187" s="13" t="s">
        <v>70</v>
      </c>
      <c r="D187" s="16" t="s">
        <v>263</v>
      </c>
      <c r="E187" s="13" t="s">
        <v>183</v>
      </c>
      <c r="F187" s="15">
        <v>44854</v>
      </c>
      <c r="G187" s="13" t="s">
        <v>20</v>
      </c>
      <c r="H187" s="15"/>
      <c r="I187" s="13" t="s">
        <v>17</v>
      </c>
      <c r="J187" s="13" t="s">
        <v>18</v>
      </c>
      <c r="K187" s="16" t="s">
        <v>239</v>
      </c>
    </row>
    <row r="188" spans="1:11">
      <c r="A188" s="17">
        <f>_xlfn.AGGREGATE(3,1,$B$6:B188)</f>
        <v>183</v>
      </c>
      <c r="B188" s="18" t="s">
        <v>261</v>
      </c>
      <c r="C188" s="18" t="s">
        <v>70</v>
      </c>
      <c r="D188" s="21" t="s">
        <v>103</v>
      </c>
      <c r="E188" s="18" t="s">
        <v>183</v>
      </c>
      <c r="F188" s="20">
        <v>44854</v>
      </c>
      <c r="G188" s="18" t="s">
        <v>77</v>
      </c>
      <c r="H188" s="20"/>
      <c r="I188" s="18" t="s">
        <v>17</v>
      </c>
      <c r="J188" s="18" t="s">
        <v>18</v>
      </c>
      <c r="K188" s="21" t="s">
        <v>239</v>
      </c>
    </row>
    <row r="189" spans="1:11" ht="28.9">
      <c r="A189" s="12">
        <f>_xlfn.AGGREGATE(3,1,$B$6:B189)</f>
        <v>184</v>
      </c>
      <c r="B189" s="13" t="s">
        <v>261</v>
      </c>
      <c r="C189" s="13" t="s">
        <v>70</v>
      </c>
      <c r="D189" s="16" t="s">
        <v>264</v>
      </c>
      <c r="E189" s="13" t="s">
        <v>183</v>
      </c>
      <c r="F189" s="15">
        <v>44854</v>
      </c>
      <c r="G189" s="13" t="s">
        <v>16</v>
      </c>
      <c r="H189" s="15"/>
      <c r="I189" s="13" t="s">
        <v>26</v>
      </c>
      <c r="J189" s="13" t="s">
        <v>18</v>
      </c>
      <c r="K189" s="16"/>
    </row>
    <row r="190" spans="1:11">
      <c r="A190" s="17">
        <f>_xlfn.AGGREGATE(3,1,$B$6:B190)</f>
        <v>185</v>
      </c>
      <c r="B190" s="18" t="s">
        <v>261</v>
      </c>
      <c r="C190" s="18" t="s">
        <v>70</v>
      </c>
      <c r="D190" s="21" t="s">
        <v>265</v>
      </c>
      <c r="E190" s="18" t="s">
        <v>30</v>
      </c>
      <c r="F190" s="20">
        <v>44854</v>
      </c>
      <c r="G190" s="18" t="s">
        <v>20</v>
      </c>
      <c r="H190" s="20"/>
      <c r="I190" s="18" t="s">
        <v>26</v>
      </c>
      <c r="J190" s="18" t="s">
        <v>18</v>
      </c>
      <c r="K190" s="21" t="s">
        <v>266</v>
      </c>
    </row>
    <row r="191" spans="1:11" ht="28.9">
      <c r="A191" s="12">
        <f>_xlfn.AGGREGATE(3,1,$B$6:B191)</f>
        <v>186</v>
      </c>
      <c r="B191" s="13" t="s">
        <v>267</v>
      </c>
      <c r="C191" s="13" t="s">
        <v>136</v>
      </c>
      <c r="D191" s="16" t="s">
        <v>268</v>
      </c>
      <c r="E191" s="13" t="s">
        <v>269</v>
      </c>
      <c r="F191" s="15">
        <v>44839</v>
      </c>
      <c r="G191" s="13" t="s">
        <v>20</v>
      </c>
      <c r="H191" s="15"/>
      <c r="I191" s="13" t="s">
        <v>17</v>
      </c>
      <c r="J191" s="13" t="s">
        <v>18</v>
      </c>
      <c r="K191" s="16" t="s">
        <v>239</v>
      </c>
    </row>
    <row r="192" spans="1:11" ht="28.9">
      <c r="A192" s="17">
        <f>_xlfn.AGGREGATE(3,1,$B$6:B192)</f>
        <v>187</v>
      </c>
      <c r="B192" s="18" t="s">
        <v>267</v>
      </c>
      <c r="C192" s="18" t="s">
        <v>136</v>
      </c>
      <c r="D192" s="21" t="s">
        <v>270</v>
      </c>
      <c r="E192" s="18" t="s">
        <v>269</v>
      </c>
      <c r="F192" s="20">
        <v>44839</v>
      </c>
      <c r="G192" s="18" t="s">
        <v>16</v>
      </c>
      <c r="H192" s="20"/>
      <c r="I192" s="18" t="s">
        <v>17</v>
      </c>
      <c r="J192" s="18" t="s">
        <v>18</v>
      </c>
      <c r="K192" s="21" t="s">
        <v>271</v>
      </c>
    </row>
    <row r="193" spans="1:11" ht="43.15">
      <c r="A193" s="12">
        <f>_xlfn.AGGREGATE(3,1,$B$6:B193)</f>
        <v>188</v>
      </c>
      <c r="B193" s="13" t="s">
        <v>267</v>
      </c>
      <c r="C193" s="13" t="s">
        <v>136</v>
      </c>
      <c r="D193" s="16" t="s">
        <v>272</v>
      </c>
      <c r="E193" s="13" t="s">
        <v>269</v>
      </c>
      <c r="F193" s="15">
        <v>44839</v>
      </c>
      <c r="G193" s="13" t="s">
        <v>16</v>
      </c>
      <c r="H193" s="15"/>
      <c r="I193" s="13" t="s">
        <v>17</v>
      </c>
      <c r="J193" s="13" t="s">
        <v>18</v>
      </c>
      <c r="K193" s="16" t="s">
        <v>239</v>
      </c>
    </row>
    <row r="194" spans="1:11" ht="28.9">
      <c r="A194" s="17">
        <f>_xlfn.AGGREGATE(3,1,$B$6:B194)</f>
        <v>189</v>
      </c>
      <c r="B194" s="18" t="s">
        <v>267</v>
      </c>
      <c r="C194" s="18" t="s">
        <v>153</v>
      </c>
      <c r="D194" s="21" t="s">
        <v>273</v>
      </c>
      <c r="E194" s="18" t="s">
        <v>269</v>
      </c>
      <c r="F194" s="20">
        <v>44839</v>
      </c>
      <c r="G194" s="18" t="s">
        <v>20</v>
      </c>
      <c r="H194" s="20"/>
      <c r="I194" s="18" t="s">
        <v>17</v>
      </c>
      <c r="J194" s="18" t="s">
        <v>18</v>
      </c>
      <c r="K194" s="21" t="s">
        <v>274</v>
      </c>
    </row>
    <row r="195" spans="1:11" ht="43.15">
      <c r="A195" s="12">
        <f>_xlfn.AGGREGATE(3,1,$B$6:B195)</f>
        <v>190</v>
      </c>
      <c r="B195" s="13" t="s">
        <v>275</v>
      </c>
      <c r="C195" s="13" t="s">
        <v>47</v>
      </c>
      <c r="D195" s="16" t="s">
        <v>276</v>
      </c>
      <c r="E195" s="13" t="s">
        <v>36</v>
      </c>
      <c r="F195" s="15">
        <v>44879</v>
      </c>
      <c r="G195" s="13" t="s">
        <v>16</v>
      </c>
      <c r="H195" s="15"/>
      <c r="I195" s="13" t="s">
        <v>17</v>
      </c>
      <c r="J195" s="13" t="s">
        <v>18</v>
      </c>
      <c r="K195" s="16" t="s">
        <v>277</v>
      </c>
    </row>
    <row r="196" spans="1:11">
      <c r="A196" s="17">
        <f>_xlfn.AGGREGATE(3,1,$B$6:B196)</f>
        <v>191</v>
      </c>
      <c r="B196" s="18" t="s">
        <v>275</v>
      </c>
      <c r="C196" s="18" t="s">
        <v>278</v>
      </c>
      <c r="D196" s="21" t="s">
        <v>279</v>
      </c>
      <c r="E196" s="18" t="s">
        <v>36</v>
      </c>
      <c r="F196" s="20">
        <v>44879</v>
      </c>
      <c r="G196" s="18" t="s">
        <v>16</v>
      </c>
      <c r="H196" s="20"/>
      <c r="I196" s="18" t="s">
        <v>17</v>
      </c>
      <c r="J196" s="18" t="s">
        <v>18</v>
      </c>
      <c r="K196" s="21" t="s">
        <v>280</v>
      </c>
    </row>
    <row r="197" spans="1:11">
      <c r="A197" s="12">
        <f>_xlfn.AGGREGATE(3,1,$B$6:B197)</f>
        <v>192</v>
      </c>
      <c r="B197" s="13" t="s">
        <v>275</v>
      </c>
      <c r="C197" s="13" t="s">
        <v>278</v>
      </c>
      <c r="D197" s="16" t="s">
        <v>281</v>
      </c>
      <c r="E197" s="13" t="s">
        <v>36</v>
      </c>
      <c r="F197" s="15">
        <v>44879</v>
      </c>
      <c r="G197" s="13" t="s">
        <v>77</v>
      </c>
      <c r="H197" s="15"/>
      <c r="I197" s="13" t="s">
        <v>17</v>
      </c>
      <c r="J197" s="13" t="s">
        <v>18</v>
      </c>
      <c r="K197" s="16" t="s">
        <v>282</v>
      </c>
    </row>
    <row r="198" spans="1:11">
      <c r="A198" s="17">
        <f>_xlfn.AGGREGATE(3,1,$B$6:B198)</f>
        <v>193</v>
      </c>
      <c r="B198" s="18" t="s">
        <v>275</v>
      </c>
      <c r="C198" s="18" t="s">
        <v>72</v>
      </c>
      <c r="D198" s="21" t="s">
        <v>283</v>
      </c>
      <c r="E198" s="18" t="s">
        <v>36</v>
      </c>
      <c r="F198" s="20">
        <v>44879</v>
      </c>
      <c r="G198" s="18" t="s">
        <v>77</v>
      </c>
      <c r="H198" s="20"/>
      <c r="I198" s="18" t="s">
        <v>17</v>
      </c>
      <c r="J198" s="18" t="s">
        <v>18</v>
      </c>
      <c r="K198" s="21" t="s">
        <v>284</v>
      </c>
    </row>
    <row r="199" spans="1:11" ht="28.9">
      <c r="A199" s="12">
        <f>_xlfn.AGGREGATE(3,1,$B$6:B199)</f>
        <v>194</v>
      </c>
      <c r="B199" s="13" t="s">
        <v>275</v>
      </c>
      <c r="C199" s="13" t="s">
        <v>72</v>
      </c>
      <c r="D199" s="16" t="s">
        <v>285</v>
      </c>
      <c r="E199" s="13" t="s">
        <v>36</v>
      </c>
      <c r="F199" s="15">
        <v>44879</v>
      </c>
      <c r="G199" s="13" t="s">
        <v>16</v>
      </c>
      <c r="H199" s="15"/>
      <c r="I199" s="13" t="s">
        <v>26</v>
      </c>
      <c r="J199" s="13" t="s">
        <v>18</v>
      </c>
      <c r="K199" s="16" t="s">
        <v>286</v>
      </c>
    </row>
    <row r="200" spans="1:11" ht="72">
      <c r="A200" s="17">
        <f>_xlfn.AGGREGATE(3,1,$B$6:B200)</f>
        <v>195</v>
      </c>
      <c r="B200" s="18" t="s">
        <v>287</v>
      </c>
      <c r="C200" s="18" t="s">
        <v>47</v>
      </c>
      <c r="D200" s="21" t="s">
        <v>288</v>
      </c>
      <c r="E200" s="18" t="s">
        <v>159</v>
      </c>
      <c r="F200" s="20">
        <v>44907</v>
      </c>
      <c r="G200" s="18" t="s">
        <v>20</v>
      </c>
      <c r="H200" s="20"/>
      <c r="I200" s="18" t="s">
        <v>26</v>
      </c>
      <c r="J200" s="18" t="s">
        <v>18</v>
      </c>
      <c r="K200" s="21"/>
    </row>
    <row r="201" spans="1:11" ht="43.15">
      <c r="A201" s="12">
        <f>_xlfn.AGGREGATE(3,1,$B$6:B201)</f>
        <v>196</v>
      </c>
      <c r="B201" s="13" t="s">
        <v>287</v>
      </c>
      <c r="C201" s="13" t="s">
        <v>47</v>
      </c>
      <c r="D201" s="16" t="s">
        <v>289</v>
      </c>
      <c r="E201" s="13" t="s">
        <v>159</v>
      </c>
      <c r="F201" s="15">
        <v>44907</v>
      </c>
      <c r="G201" s="13" t="s">
        <v>20</v>
      </c>
      <c r="H201" s="15"/>
      <c r="I201" s="13" t="s">
        <v>26</v>
      </c>
      <c r="J201" s="13" t="s">
        <v>18</v>
      </c>
      <c r="K201" s="16"/>
    </row>
    <row r="202" spans="1:11" ht="28.9">
      <c r="A202" s="17">
        <f>_xlfn.AGGREGATE(3,1,$B$6:B202)</f>
        <v>197</v>
      </c>
      <c r="B202" s="18" t="s">
        <v>290</v>
      </c>
      <c r="C202" s="18" t="s">
        <v>157</v>
      </c>
      <c r="D202" s="21" t="s">
        <v>291</v>
      </c>
      <c r="E202" s="18" t="s">
        <v>183</v>
      </c>
      <c r="F202" s="20">
        <v>44911</v>
      </c>
      <c r="G202" s="18" t="s">
        <v>20</v>
      </c>
      <c r="H202" s="20"/>
      <c r="I202" s="18" t="s">
        <v>17</v>
      </c>
      <c r="J202" s="18" t="s">
        <v>18</v>
      </c>
      <c r="K202" s="21" t="s">
        <v>286</v>
      </c>
    </row>
    <row r="203" spans="1:11">
      <c r="A203" s="12">
        <f>_xlfn.AGGREGATE(3,1,$B$6:B203)</f>
        <v>198</v>
      </c>
      <c r="B203" s="13" t="s">
        <v>290</v>
      </c>
      <c r="C203" s="13" t="s">
        <v>93</v>
      </c>
      <c r="D203" s="16" t="s">
        <v>292</v>
      </c>
      <c r="E203" s="13" t="s">
        <v>183</v>
      </c>
      <c r="F203" s="15">
        <v>44911</v>
      </c>
      <c r="G203" s="13" t="s">
        <v>16</v>
      </c>
      <c r="H203" s="15"/>
      <c r="I203" s="13" t="s">
        <v>17</v>
      </c>
      <c r="J203" s="13" t="s">
        <v>18</v>
      </c>
      <c r="K203" s="16" t="s">
        <v>293</v>
      </c>
    </row>
    <row r="204" spans="1:11" ht="28.9">
      <c r="A204" s="17">
        <f>_xlfn.AGGREGATE(3,1,$B$6:B204)</f>
        <v>199</v>
      </c>
      <c r="B204" s="18" t="s">
        <v>290</v>
      </c>
      <c r="C204" s="18" t="s">
        <v>294</v>
      </c>
      <c r="D204" s="21" t="s">
        <v>295</v>
      </c>
      <c r="E204" s="18" t="s">
        <v>183</v>
      </c>
      <c r="F204" s="20">
        <v>44911</v>
      </c>
      <c r="G204" s="18" t="s">
        <v>16</v>
      </c>
      <c r="H204" s="20"/>
      <c r="I204" s="18" t="s">
        <v>17</v>
      </c>
      <c r="J204" s="18" t="s">
        <v>18</v>
      </c>
      <c r="K204" s="21"/>
    </row>
    <row r="205" spans="1:11" ht="28.9">
      <c r="A205" s="12">
        <f>_xlfn.AGGREGATE(3,1,$B$6:B205)</f>
        <v>200</v>
      </c>
      <c r="B205" s="13" t="s">
        <v>290</v>
      </c>
      <c r="C205" s="13" t="s">
        <v>296</v>
      </c>
      <c r="D205" s="16" t="s">
        <v>297</v>
      </c>
      <c r="E205" s="13" t="s">
        <v>183</v>
      </c>
      <c r="F205" s="15">
        <v>44911</v>
      </c>
      <c r="G205" s="13" t="s">
        <v>16</v>
      </c>
      <c r="H205" s="15"/>
      <c r="I205" s="13" t="s">
        <v>17</v>
      </c>
      <c r="J205" s="13" t="s">
        <v>18</v>
      </c>
      <c r="K205" s="16" t="s">
        <v>298</v>
      </c>
    </row>
    <row r="206" spans="1:11">
      <c r="A206" s="17">
        <f>_xlfn.AGGREGATE(3,1,$B$6:B206)</f>
        <v>201</v>
      </c>
      <c r="B206" s="18" t="s">
        <v>290</v>
      </c>
      <c r="C206" s="18" t="s">
        <v>153</v>
      </c>
      <c r="D206" s="21" t="s">
        <v>299</v>
      </c>
      <c r="E206" s="18" t="s">
        <v>183</v>
      </c>
      <c r="F206" s="20">
        <v>44911</v>
      </c>
      <c r="G206" s="18" t="s">
        <v>16</v>
      </c>
      <c r="H206" s="20"/>
      <c r="I206" s="18" t="s">
        <v>17</v>
      </c>
      <c r="J206" s="18" t="s">
        <v>18</v>
      </c>
      <c r="K206" s="21" t="s">
        <v>282</v>
      </c>
    </row>
    <row r="207" spans="1:11" ht="28.9">
      <c r="A207" s="12">
        <f>_xlfn.AGGREGATE(3,1,$B$6:B207)</f>
        <v>202</v>
      </c>
      <c r="B207" s="13" t="s">
        <v>290</v>
      </c>
      <c r="C207" s="13" t="s">
        <v>157</v>
      </c>
      <c r="D207" s="16" t="s">
        <v>285</v>
      </c>
      <c r="E207" s="13" t="s">
        <v>183</v>
      </c>
      <c r="F207" s="15">
        <v>44911</v>
      </c>
      <c r="G207" s="13" t="s">
        <v>16</v>
      </c>
      <c r="H207" s="15"/>
      <c r="I207" s="13" t="s">
        <v>26</v>
      </c>
      <c r="J207" s="13" t="s">
        <v>18</v>
      </c>
      <c r="K207" s="16" t="s">
        <v>300</v>
      </c>
    </row>
    <row r="208" spans="1:11">
      <c r="A208" s="17">
        <f>_xlfn.AGGREGATE(3,1,$B$6:B208)</f>
        <v>203</v>
      </c>
      <c r="B208" s="18" t="s">
        <v>301</v>
      </c>
      <c r="C208" s="18" t="s">
        <v>144</v>
      </c>
      <c r="D208" s="21" t="s">
        <v>73</v>
      </c>
      <c r="E208" s="18" t="s">
        <v>95</v>
      </c>
      <c r="F208" s="20">
        <v>44920</v>
      </c>
      <c r="G208" s="18" t="s">
        <v>20</v>
      </c>
      <c r="H208" s="20"/>
      <c r="I208" s="18" t="s">
        <v>17</v>
      </c>
      <c r="J208" s="18" t="s">
        <v>18</v>
      </c>
      <c r="K208" s="21"/>
    </row>
    <row r="209" spans="1:11">
      <c r="A209" s="12">
        <f>_xlfn.AGGREGATE(3,1,$B$6:B209)</f>
        <v>204</v>
      </c>
      <c r="B209" s="13" t="s">
        <v>301</v>
      </c>
      <c r="C209" s="13" t="s">
        <v>144</v>
      </c>
      <c r="D209" s="16" t="s">
        <v>302</v>
      </c>
      <c r="E209" s="13" t="s">
        <v>95</v>
      </c>
      <c r="F209" s="15">
        <v>44920</v>
      </c>
      <c r="G209" s="13" t="s">
        <v>20</v>
      </c>
      <c r="H209" s="15"/>
      <c r="I209" s="13" t="s">
        <v>17</v>
      </c>
      <c r="J209" s="13" t="s">
        <v>18</v>
      </c>
      <c r="K209" s="16"/>
    </row>
    <row r="210" spans="1:11" ht="28.9">
      <c r="A210" s="17">
        <f>_xlfn.AGGREGATE(3,1,$B$6:B210)</f>
        <v>205</v>
      </c>
      <c r="B210" s="18" t="s">
        <v>301</v>
      </c>
      <c r="C210" s="18" t="s">
        <v>47</v>
      </c>
      <c r="D210" s="21" t="s">
        <v>303</v>
      </c>
      <c r="E210" s="18" t="s">
        <v>95</v>
      </c>
      <c r="F210" s="20">
        <v>44920</v>
      </c>
      <c r="G210" s="18" t="s">
        <v>16</v>
      </c>
      <c r="H210" s="20"/>
      <c r="I210" s="13" t="s">
        <v>304</v>
      </c>
      <c r="J210" s="18" t="s">
        <v>305</v>
      </c>
      <c r="K210" s="21" t="s">
        <v>306</v>
      </c>
    </row>
    <row r="211" spans="1:11">
      <c r="A211" s="12">
        <f>_xlfn.AGGREGATE(3,1,$B$6:B211)</f>
        <v>206</v>
      </c>
      <c r="B211" s="13" t="s">
        <v>307</v>
      </c>
      <c r="C211" s="13" t="s">
        <v>93</v>
      </c>
      <c r="D211" s="16" t="s">
        <v>73</v>
      </c>
      <c r="E211" s="13" t="s">
        <v>183</v>
      </c>
      <c r="F211" s="15">
        <v>44949</v>
      </c>
      <c r="G211" s="13" t="s">
        <v>20</v>
      </c>
      <c r="H211" s="15"/>
      <c r="I211" s="13" t="s">
        <v>17</v>
      </c>
      <c r="J211" s="13" t="s">
        <v>18</v>
      </c>
      <c r="K211" s="16" t="s">
        <v>308</v>
      </c>
    </row>
    <row r="212" spans="1:11">
      <c r="A212" s="17">
        <f>_xlfn.AGGREGATE(3,1,$B$6:B212)</f>
        <v>207</v>
      </c>
      <c r="B212" s="18" t="s">
        <v>307</v>
      </c>
      <c r="C212" s="18" t="s">
        <v>93</v>
      </c>
      <c r="D212" s="21" t="s">
        <v>202</v>
      </c>
      <c r="E212" s="18" t="s">
        <v>183</v>
      </c>
      <c r="F212" s="20">
        <v>44949</v>
      </c>
      <c r="G212" s="18" t="s">
        <v>16</v>
      </c>
      <c r="H212" s="20"/>
      <c r="I212" s="18" t="s">
        <v>17</v>
      </c>
      <c r="J212" s="18" t="s">
        <v>18</v>
      </c>
      <c r="K212" s="21" t="s">
        <v>282</v>
      </c>
    </row>
    <row r="213" spans="1:11" ht="43.15">
      <c r="A213" s="12">
        <f>_xlfn.AGGREGATE(3,1,$B$6:B213)</f>
        <v>208</v>
      </c>
      <c r="B213" s="13" t="s">
        <v>307</v>
      </c>
      <c r="C213" s="13" t="s">
        <v>93</v>
      </c>
      <c r="D213" s="16" t="s">
        <v>309</v>
      </c>
      <c r="E213" s="13" t="s">
        <v>183</v>
      </c>
      <c r="F213" s="15">
        <v>44949</v>
      </c>
      <c r="G213" s="13" t="s">
        <v>16</v>
      </c>
      <c r="H213" s="15"/>
      <c r="I213" s="13" t="s">
        <v>17</v>
      </c>
      <c r="J213" s="13" t="s">
        <v>18</v>
      </c>
      <c r="K213" s="16" t="s">
        <v>308</v>
      </c>
    </row>
    <row r="214" spans="1:11">
      <c r="A214" s="17">
        <f>_xlfn.AGGREGATE(3,1,$B$6:B214)</f>
        <v>209</v>
      </c>
      <c r="B214" s="18" t="s">
        <v>307</v>
      </c>
      <c r="C214" s="18" t="s">
        <v>207</v>
      </c>
      <c r="D214" s="21" t="s">
        <v>310</v>
      </c>
      <c r="E214" s="18" t="s">
        <v>183</v>
      </c>
      <c r="F214" s="20">
        <v>44949</v>
      </c>
      <c r="G214" s="18" t="s">
        <v>77</v>
      </c>
      <c r="H214" s="20"/>
      <c r="I214" s="18" t="s">
        <v>17</v>
      </c>
      <c r="J214" s="18" t="s">
        <v>18</v>
      </c>
      <c r="K214" s="21" t="s">
        <v>239</v>
      </c>
    </row>
    <row r="215" spans="1:11">
      <c r="A215" s="12">
        <f>_xlfn.AGGREGATE(3,1,$B$6:B215)</f>
        <v>210</v>
      </c>
      <c r="B215" s="13" t="s">
        <v>307</v>
      </c>
      <c r="C215" s="13" t="s">
        <v>311</v>
      </c>
      <c r="D215" s="16" t="s">
        <v>312</v>
      </c>
      <c r="E215" s="13" t="s">
        <v>183</v>
      </c>
      <c r="F215" s="15">
        <v>44949</v>
      </c>
      <c r="G215" s="13" t="s">
        <v>16</v>
      </c>
      <c r="H215" s="15"/>
      <c r="I215" s="13" t="s">
        <v>17</v>
      </c>
      <c r="J215" s="13" t="s">
        <v>18</v>
      </c>
      <c r="K215" s="16" t="s">
        <v>313</v>
      </c>
    </row>
    <row r="216" spans="1:11" ht="28.9">
      <c r="A216" s="17">
        <f>_xlfn.AGGREGATE(3,1,$B$6:B216)</f>
        <v>211</v>
      </c>
      <c r="B216" s="18" t="s">
        <v>307</v>
      </c>
      <c r="C216" s="18" t="s">
        <v>93</v>
      </c>
      <c r="D216" s="21" t="s">
        <v>265</v>
      </c>
      <c r="E216" s="18" t="s">
        <v>183</v>
      </c>
      <c r="F216" s="20">
        <v>44949</v>
      </c>
      <c r="G216" s="18" t="s">
        <v>20</v>
      </c>
      <c r="H216" s="20"/>
      <c r="I216" s="18" t="s">
        <v>26</v>
      </c>
      <c r="J216" s="18" t="s">
        <v>18</v>
      </c>
      <c r="K216" s="21" t="s">
        <v>314</v>
      </c>
    </row>
    <row r="217" spans="1:11">
      <c r="A217" s="12">
        <f>_xlfn.AGGREGATE(3,1,$B$6:B217)</f>
        <v>212</v>
      </c>
      <c r="B217" s="13" t="s">
        <v>315</v>
      </c>
      <c r="C217" s="13" t="s">
        <v>40</v>
      </c>
      <c r="D217" s="16" t="s">
        <v>316</v>
      </c>
      <c r="E217" s="13" t="s">
        <v>38</v>
      </c>
      <c r="F217" s="15">
        <v>44950</v>
      </c>
      <c r="G217" s="13" t="s">
        <v>16</v>
      </c>
      <c r="H217" s="15"/>
      <c r="I217" s="13" t="s">
        <v>17</v>
      </c>
      <c r="J217" s="13" t="s">
        <v>18</v>
      </c>
      <c r="K217" s="16" t="s">
        <v>313</v>
      </c>
    </row>
    <row r="218" spans="1:11" ht="28.9">
      <c r="A218" s="17">
        <f>_xlfn.AGGREGATE(3,1,$B$6:B218)</f>
        <v>213</v>
      </c>
      <c r="B218" s="18" t="s">
        <v>315</v>
      </c>
      <c r="C218" s="18" t="s">
        <v>63</v>
      </c>
      <c r="D218" s="21" t="s">
        <v>53</v>
      </c>
      <c r="E218" s="18" t="s">
        <v>42</v>
      </c>
      <c r="F218" s="20">
        <v>44950</v>
      </c>
      <c r="G218" s="18" t="s">
        <v>16</v>
      </c>
      <c r="H218" s="20"/>
      <c r="I218" s="18" t="s">
        <v>17</v>
      </c>
      <c r="J218" s="18" t="s">
        <v>18</v>
      </c>
      <c r="K218" s="21" t="s">
        <v>317</v>
      </c>
    </row>
    <row r="219" spans="1:11" ht="43.15">
      <c r="A219" s="12">
        <f>_xlfn.AGGREGATE(3,1,$B$6:B219)</f>
        <v>214</v>
      </c>
      <c r="B219" s="13" t="s">
        <v>315</v>
      </c>
      <c r="C219" s="13" t="s">
        <v>47</v>
      </c>
      <c r="D219" s="16" t="s">
        <v>244</v>
      </c>
      <c r="E219" s="13" t="s">
        <v>36</v>
      </c>
      <c r="F219" s="15">
        <v>44950</v>
      </c>
      <c r="G219" s="13" t="s">
        <v>20</v>
      </c>
      <c r="H219" s="15"/>
      <c r="I219" s="13" t="s">
        <v>26</v>
      </c>
      <c r="J219" s="13" t="s">
        <v>18</v>
      </c>
      <c r="K219" s="16"/>
    </row>
    <row r="220" spans="1:11" ht="72">
      <c r="A220" s="17">
        <f>_xlfn.AGGREGATE(3,1,$B$6:B220)</f>
        <v>215</v>
      </c>
      <c r="B220" s="18" t="s">
        <v>315</v>
      </c>
      <c r="C220" s="18" t="s">
        <v>47</v>
      </c>
      <c r="D220" s="21" t="s">
        <v>318</v>
      </c>
      <c r="E220" s="18" t="s">
        <v>36</v>
      </c>
      <c r="F220" s="20">
        <v>44950</v>
      </c>
      <c r="G220" s="18" t="s">
        <v>20</v>
      </c>
      <c r="H220" s="20"/>
      <c r="I220" s="18" t="s">
        <v>26</v>
      </c>
      <c r="J220" s="18" t="s">
        <v>18</v>
      </c>
      <c r="K220" s="21"/>
    </row>
    <row r="221" spans="1:11" ht="72">
      <c r="A221" s="12">
        <f>_xlfn.AGGREGATE(3,1,$B$6:B221)</f>
        <v>216</v>
      </c>
      <c r="B221" s="13" t="s">
        <v>315</v>
      </c>
      <c r="C221" s="13" t="s">
        <v>47</v>
      </c>
      <c r="D221" s="16" t="s">
        <v>319</v>
      </c>
      <c r="E221" s="13" t="s">
        <v>36</v>
      </c>
      <c r="F221" s="15">
        <v>44950</v>
      </c>
      <c r="G221" s="13" t="s">
        <v>20</v>
      </c>
      <c r="H221" s="15"/>
      <c r="I221" s="13" t="s">
        <v>26</v>
      </c>
      <c r="J221" s="13" t="s">
        <v>18</v>
      </c>
      <c r="K221" s="16" t="s">
        <v>257</v>
      </c>
    </row>
    <row r="222" spans="1:11" ht="28.9">
      <c r="A222" s="17">
        <f>_xlfn.AGGREGATE(3,1,$B$6:B222)</f>
        <v>217</v>
      </c>
      <c r="B222" s="18" t="s">
        <v>315</v>
      </c>
      <c r="C222" s="18" t="s">
        <v>320</v>
      </c>
      <c r="D222" s="21" t="s">
        <v>321</v>
      </c>
      <c r="E222" s="18" t="s">
        <v>36</v>
      </c>
      <c r="F222" s="20">
        <v>44950</v>
      </c>
      <c r="G222" s="18" t="s">
        <v>16</v>
      </c>
      <c r="H222" s="20"/>
      <c r="I222" s="18" t="s">
        <v>26</v>
      </c>
      <c r="J222" s="18" t="s">
        <v>18</v>
      </c>
      <c r="K222" s="21" t="s">
        <v>210</v>
      </c>
    </row>
    <row r="223" spans="1:11">
      <c r="A223" s="12">
        <f>_xlfn.AGGREGATE(3,1,$B$6:B223)</f>
        <v>218</v>
      </c>
      <c r="B223" s="13" t="s">
        <v>315</v>
      </c>
      <c r="C223" s="13" t="s">
        <v>47</v>
      </c>
      <c r="D223" s="16" t="s">
        <v>322</v>
      </c>
      <c r="E223" s="13" t="s">
        <v>36</v>
      </c>
      <c r="F223" s="15">
        <v>44950</v>
      </c>
      <c r="G223" s="13" t="s">
        <v>16</v>
      </c>
      <c r="H223" s="15"/>
      <c r="I223" s="13" t="s">
        <v>26</v>
      </c>
      <c r="J223" s="13" t="s">
        <v>18</v>
      </c>
      <c r="K223" s="16" t="s">
        <v>210</v>
      </c>
    </row>
    <row r="224" spans="1:11" ht="28.9">
      <c r="A224" s="17">
        <f>_xlfn.AGGREGATE(3,1,$B$6:B224)</f>
        <v>219</v>
      </c>
      <c r="B224" s="18" t="s">
        <v>315</v>
      </c>
      <c r="C224" s="18" t="s">
        <v>40</v>
      </c>
      <c r="D224" s="21" t="s">
        <v>265</v>
      </c>
      <c r="E224" s="18" t="s">
        <v>38</v>
      </c>
      <c r="F224" s="20">
        <v>44950</v>
      </c>
      <c r="G224" s="18" t="s">
        <v>20</v>
      </c>
      <c r="H224" s="20"/>
      <c r="I224" s="18" t="s">
        <v>26</v>
      </c>
      <c r="J224" s="18" t="s">
        <v>18</v>
      </c>
      <c r="K224" s="21" t="s">
        <v>323</v>
      </c>
    </row>
    <row r="225" spans="1:11">
      <c r="A225" s="12">
        <f>_xlfn.AGGREGATE(3,1,$B$6:B225)</f>
        <v>220</v>
      </c>
      <c r="B225" s="13" t="s">
        <v>315</v>
      </c>
      <c r="C225" s="13" t="s">
        <v>47</v>
      </c>
      <c r="D225" s="16" t="s">
        <v>322</v>
      </c>
      <c r="E225" s="13" t="s">
        <v>42</v>
      </c>
      <c r="F225" s="15">
        <v>44950</v>
      </c>
      <c r="G225" s="13" t="s">
        <v>16</v>
      </c>
      <c r="H225" s="15"/>
      <c r="I225" s="13" t="s">
        <v>26</v>
      </c>
      <c r="J225" s="13" t="s">
        <v>18</v>
      </c>
      <c r="K225" s="16" t="s">
        <v>210</v>
      </c>
    </row>
    <row r="226" spans="1:11">
      <c r="A226" s="17">
        <f>_xlfn.AGGREGATE(3,1,$B$6:B226)</f>
        <v>221</v>
      </c>
      <c r="B226" s="18" t="s">
        <v>324</v>
      </c>
      <c r="C226" s="18" t="s">
        <v>13</v>
      </c>
      <c r="D226" s="21" t="s">
        <v>325</v>
      </c>
      <c r="E226" s="18" t="s">
        <v>166</v>
      </c>
      <c r="F226" s="20">
        <v>44970</v>
      </c>
      <c r="G226" s="18" t="s">
        <v>77</v>
      </c>
      <c r="H226" s="20"/>
      <c r="I226" s="18" t="s">
        <v>17</v>
      </c>
      <c r="J226" s="18" t="s">
        <v>18</v>
      </c>
      <c r="K226" s="21"/>
    </row>
    <row r="227" spans="1:11" ht="43.15">
      <c r="A227" s="12">
        <f>_xlfn.AGGREGATE(3,1,$B$6:B227)</f>
        <v>222</v>
      </c>
      <c r="B227" s="13" t="s">
        <v>324</v>
      </c>
      <c r="C227" s="13" t="s">
        <v>123</v>
      </c>
      <c r="D227" s="16" t="s">
        <v>326</v>
      </c>
      <c r="E227" s="13" t="s">
        <v>166</v>
      </c>
      <c r="F227" s="15">
        <v>44970</v>
      </c>
      <c r="G227" s="13" t="s">
        <v>20</v>
      </c>
      <c r="H227" s="15"/>
      <c r="I227" s="13" t="s">
        <v>17</v>
      </c>
      <c r="J227" s="13" t="s">
        <v>18</v>
      </c>
      <c r="K227" s="16" t="s">
        <v>239</v>
      </c>
    </row>
    <row r="228" spans="1:11">
      <c r="A228" s="17">
        <f>_xlfn.AGGREGATE(3,1,$B$6:B228)</f>
        <v>223</v>
      </c>
      <c r="B228" s="18" t="s">
        <v>324</v>
      </c>
      <c r="C228" s="18" t="s">
        <v>199</v>
      </c>
      <c r="D228" s="21" t="s">
        <v>327</v>
      </c>
      <c r="E228" s="18" t="s">
        <v>166</v>
      </c>
      <c r="F228" s="20">
        <v>44970</v>
      </c>
      <c r="G228" s="18" t="s">
        <v>77</v>
      </c>
      <c r="H228" s="20"/>
      <c r="I228" s="18" t="s">
        <v>17</v>
      </c>
      <c r="J228" s="18" t="s">
        <v>18</v>
      </c>
      <c r="K228" s="21"/>
    </row>
    <row r="229" spans="1:11" ht="28.9">
      <c r="A229" s="12">
        <f>_xlfn.AGGREGATE(3,1,$B$6:B229)</f>
        <v>224</v>
      </c>
      <c r="B229" s="13" t="s">
        <v>324</v>
      </c>
      <c r="C229" s="13" t="s">
        <v>123</v>
      </c>
      <c r="D229" s="16" t="s">
        <v>134</v>
      </c>
      <c r="E229" s="13" t="s">
        <v>166</v>
      </c>
      <c r="F229" s="15">
        <v>44970</v>
      </c>
      <c r="G229" s="13" t="s">
        <v>16</v>
      </c>
      <c r="H229" s="15"/>
      <c r="I229" s="13" t="s">
        <v>26</v>
      </c>
      <c r="J229" s="13" t="s">
        <v>18</v>
      </c>
      <c r="K229" s="16"/>
    </row>
    <row r="230" spans="1:11" ht="28.9">
      <c r="A230" s="17">
        <f>_xlfn.AGGREGATE(3,1,$B$6:B230)</f>
        <v>225</v>
      </c>
      <c r="B230" s="18" t="s">
        <v>328</v>
      </c>
      <c r="C230" s="18" t="s">
        <v>21</v>
      </c>
      <c r="D230" s="21" t="s">
        <v>329</v>
      </c>
      <c r="E230" s="18" t="s">
        <v>330</v>
      </c>
      <c r="F230" s="20">
        <v>44978</v>
      </c>
      <c r="G230" s="18" t="s">
        <v>16</v>
      </c>
      <c r="H230" s="20"/>
      <c r="I230" s="18" t="s">
        <v>17</v>
      </c>
      <c r="J230" s="18" t="s">
        <v>18</v>
      </c>
      <c r="K230" s="21"/>
    </row>
    <row r="231" spans="1:11" ht="28.9">
      <c r="A231" s="12">
        <f>_xlfn.AGGREGATE(3,1,$B$6:B231)</f>
        <v>226</v>
      </c>
      <c r="B231" s="13" t="s">
        <v>328</v>
      </c>
      <c r="C231" s="13" t="s">
        <v>21</v>
      </c>
      <c r="D231" s="16" t="s">
        <v>252</v>
      </c>
      <c r="E231" s="13" t="s">
        <v>330</v>
      </c>
      <c r="F231" s="15">
        <v>44978</v>
      </c>
      <c r="G231" s="13" t="s">
        <v>16</v>
      </c>
      <c r="H231" s="15"/>
      <c r="I231" s="13" t="s">
        <v>17</v>
      </c>
      <c r="J231" s="13" t="s">
        <v>18</v>
      </c>
      <c r="K231" s="16" t="s">
        <v>253</v>
      </c>
    </row>
    <row r="232" spans="1:11" ht="28.9">
      <c r="A232" s="17">
        <f>_xlfn.AGGREGATE(3,1,$B$6:B232)</f>
        <v>227</v>
      </c>
      <c r="B232" s="18" t="s">
        <v>328</v>
      </c>
      <c r="C232" s="18" t="s">
        <v>100</v>
      </c>
      <c r="D232" s="21" t="s">
        <v>32</v>
      </c>
      <c r="E232" s="18" t="s">
        <v>159</v>
      </c>
      <c r="F232" s="20">
        <v>44978</v>
      </c>
      <c r="G232" s="18" t="s">
        <v>16</v>
      </c>
      <c r="H232" s="20"/>
      <c r="I232" s="18" t="s">
        <v>17</v>
      </c>
      <c r="J232" s="18" t="s">
        <v>18</v>
      </c>
      <c r="K232" s="21"/>
    </row>
    <row r="233" spans="1:11" ht="28.9">
      <c r="A233" s="12">
        <f>_xlfn.AGGREGATE(3,1,$B$6:B233)</f>
        <v>228</v>
      </c>
      <c r="B233" s="13" t="s">
        <v>328</v>
      </c>
      <c r="C233" s="13" t="s">
        <v>21</v>
      </c>
      <c r="D233" s="16" t="s">
        <v>134</v>
      </c>
      <c r="E233" s="13" t="s">
        <v>330</v>
      </c>
      <c r="F233" s="15">
        <v>44978</v>
      </c>
      <c r="G233" s="13" t="s">
        <v>16</v>
      </c>
      <c r="H233" s="15"/>
      <c r="I233" s="13" t="s">
        <v>26</v>
      </c>
      <c r="J233" s="13" t="s">
        <v>18</v>
      </c>
      <c r="K233" s="16"/>
    </row>
    <row r="234" spans="1:11" ht="28.9">
      <c r="A234" s="17">
        <f>_xlfn.AGGREGATE(3,1,$B$6:B234)</f>
        <v>229</v>
      </c>
      <c r="B234" s="18" t="s">
        <v>328</v>
      </c>
      <c r="C234" s="18" t="s">
        <v>100</v>
      </c>
      <c r="D234" s="21" t="s">
        <v>54</v>
      </c>
      <c r="E234" s="18" t="s">
        <v>159</v>
      </c>
      <c r="F234" s="20">
        <v>44978</v>
      </c>
      <c r="G234" s="18" t="s">
        <v>16</v>
      </c>
      <c r="H234" s="20"/>
      <c r="I234" s="18" t="s">
        <v>26</v>
      </c>
      <c r="J234" s="18" t="s">
        <v>18</v>
      </c>
      <c r="K234" s="21"/>
    </row>
    <row r="235" spans="1:11" ht="28.9">
      <c r="A235" s="12">
        <f>_xlfn.AGGREGATE(3,1,$B$6:B235)</f>
        <v>230</v>
      </c>
      <c r="B235" s="13" t="s">
        <v>331</v>
      </c>
      <c r="C235" s="13" t="s">
        <v>47</v>
      </c>
      <c r="D235" s="16" t="s">
        <v>332</v>
      </c>
      <c r="E235" s="13" t="s">
        <v>69</v>
      </c>
      <c r="F235" s="15">
        <v>44992</v>
      </c>
      <c r="G235" s="13" t="s">
        <v>20</v>
      </c>
      <c r="H235" s="15"/>
      <c r="I235" s="13" t="s">
        <v>26</v>
      </c>
      <c r="J235" s="13" t="s">
        <v>18</v>
      </c>
      <c r="K235" s="16" t="s">
        <v>257</v>
      </c>
    </row>
    <row r="236" spans="1:11" ht="72">
      <c r="A236" s="17">
        <f>_xlfn.AGGREGATE(3,1,$B$6:B236)</f>
        <v>231</v>
      </c>
      <c r="B236" s="18" t="s">
        <v>331</v>
      </c>
      <c r="C236" s="18" t="s">
        <v>47</v>
      </c>
      <c r="D236" s="21" t="s">
        <v>333</v>
      </c>
      <c r="E236" s="18" t="s">
        <v>69</v>
      </c>
      <c r="F236" s="20">
        <v>44992</v>
      </c>
      <c r="G236" s="18" t="s">
        <v>20</v>
      </c>
      <c r="H236" s="20"/>
      <c r="I236" s="18" t="s">
        <v>26</v>
      </c>
      <c r="J236" s="18" t="s">
        <v>18</v>
      </c>
      <c r="K236" s="21" t="s">
        <v>257</v>
      </c>
    </row>
    <row r="237" spans="1:11" ht="28.9">
      <c r="A237" s="12">
        <f>_xlfn.AGGREGATE(3,1,$B$6:B237)</f>
        <v>232</v>
      </c>
      <c r="B237" s="13" t="s">
        <v>334</v>
      </c>
      <c r="C237" s="13" t="s">
        <v>199</v>
      </c>
      <c r="D237" s="16" t="s">
        <v>335</v>
      </c>
      <c r="E237" s="13" t="s">
        <v>166</v>
      </c>
      <c r="F237" s="15">
        <v>44992</v>
      </c>
      <c r="G237" s="13" t="s">
        <v>20</v>
      </c>
      <c r="H237" s="15"/>
      <c r="I237" s="13" t="s">
        <v>17</v>
      </c>
      <c r="J237" s="13" t="s">
        <v>18</v>
      </c>
      <c r="K237" s="16"/>
    </row>
    <row r="238" spans="1:11" ht="28.9">
      <c r="A238" s="17">
        <f>_xlfn.AGGREGATE(3,1,$B$6:B238)</f>
        <v>233</v>
      </c>
      <c r="B238" s="18" t="s">
        <v>334</v>
      </c>
      <c r="C238" s="18" t="s">
        <v>199</v>
      </c>
      <c r="D238" s="21" t="s">
        <v>336</v>
      </c>
      <c r="E238" s="18" t="s">
        <v>166</v>
      </c>
      <c r="F238" s="20">
        <v>44992</v>
      </c>
      <c r="G238" s="18" t="s">
        <v>20</v>
      </c>
      <c r="H238" s="20"/>
      <c r="I238" s="18" t="s">
        <v>17</v>
      </c>
      <c r="J238" s="18" t="s">
        <v>18</v>
      </c>
      <c r="K238" s="21"/>
    </row>
    <row r="239" spans="1:11">
      <c r="A239" s="12">
        <f>_xlfn.AGGREGATE(3,1,$B$6:B239)</f>
        <v>234</v>
      </c>
      <c r="B239" s="13" t="s">
        <v>334</v>
      </c>
      <c r="C239" s="13" t="s">
        <v>199</v>
      </c>
      <c r="D239" s="16" t="s">
        <v>337</v>
      </c>
      <c r="E239" s="13" t="s">
        <v>166</v>
      </c>
      <c r="F239" s="15">
        <v>44992</v>
      </c>
      <c r="G239" s="13" t="s">
        <v>16</v>
      </c>
      <c r="H239" s="15"/>
      <c r="I239" s="13" t="s">
        <v>17</v>
      </c>
      <c r="J239" s="13" t="s">
        <v>18</v>
      </c>
      <c r="K239" s="16"/>
    </row>
    <row r="240" spans="1:11" ht="43.15">
      <c r="A240" s="17">
        <f>_xlfn.AGGREGATE(3,1,$B$6:B240)</f>
        <v>235</v>
      </c>
      <c r="B240" s="18" t="s">
        <v>334</v>
      </c>
      <c r="C240" s="18" t="s">
        <v>199</v>
      </c>
      <c r="D240" s="21" t="s">
        <v>338</v>
      </c>
      <c r="E240" s="18" t="s">
        <v>166</v>
      </c>
      <c r="F240" s="20">
        <v>44992</v>
      </c>
      <c r="G240" s="18" t="s">
        <v>16</v>
      </c>
      <c r="H240" s="20"/>
      <c r="I240" s="18" t="s">
        <v>17</v>
      </c>
      <c r="J240" s="18" t="s">
        <v>18</v>
      </c>
      <c r="K240" s="21"/>
    </row>
    <row r="241" spans="1:11" ht="43.15">
      <c r="A241" s="12">
        <f>_xlfn.AGGREGATE(3,1,$B$6:B241)</f>
        <v>236</v>
      </c>
      <c r="B241" s="13" t="s">
        <v>334</v>
      </c>
      <c r="C241" s="13" t="s">
        <v>199</v>
      </c>
      <c r="D241" s="16" t="s">
        <v>339</v>
      </c>
      <c r="E241" s="13" t="s">
        <v>166</v>
      </c>
      <c r="F241" s="15">
        <v>44992</v>
      </c>
      <c r="G241" s="13" t="s">
        <v>16</v>
      </c>
      <c r="H241" s="15"/>
      <c r="I241" s="13" t="s">
        <v>17</v>
      </c>
      <c r="J241" s="13" t="s">
        <v>18</v>
      </c>
      <c r="K241" s="16"/>
    </row>
    <row r="242" spans="1:11" ht="43.15">
      <c r="A242" s="17">
        <f>_xlfn.AGGREGATE(3,1,$B$6:B242)</f>
        <v>237</v>
      </c>
      <c r="B242" s="18" t="s">
        <v>334</v>
      </c>
      <c r="C242" s="18" t="s">
        <v>75</v>
      </c>
      <c r="D242" s="21" t="s">
        <v>340</v>
      </c>
      <c r="E242" s="18" t="s">
        <v>166</v>
      </c>
      <c r="F242" s="20">
        <v>44992</v>
      </c>
      <c r="G242" s="18" t="s">
        <v>77</v>
      </c>
      <c r="H242" s="20"/>
      <c r="I242" s="18" t="s">
        <v>17</v>
      </c>
      <c r="J242" s="18" t="s">
        <v>18</v>
      </c>
      <c r="K242" s="21"/>
    </row>
    <row r="243" spans="1:11" ht="86.45">
      <c r="A243" s="12">
        <f>_xlfn.AGGREGATE(3,1,$B$6:B243)</f>
        <v>238</v>
      </c>
      <c r="B243" s="13" t="s">
        <v>334</v>
      </c>
      <c r="C243" s="13" t="s">
        <v>75</v>
      </c>
      <c r="D243" s="16" t="s">
        <v>341</v>
      </c>
      <c r="E243" s="13" t="s">
        <v>166</v>
      </c>
      <c r="F243" s="15">
        <v>44992</v>
      </c>
      <c r="G243" s="13" t="s">
        <v>20</v>
      </c>
      <c r="H243" s="15"/>
      <c r="I243" s="13" t="s">
        <v>26</v>
      </c>
      <c r="J243" s="13" t="s">
        <v>18</v>
      </c>
      <c r="K243" s="16" t="s">
        <v>342</v>
      </c>
    </row>
    <row r="244" spans="1:11" ht="28.9">
      <c r="A244" s="17">
        <f>_xlfn.AGGREGATE(3,1,$B$6:B244)</f>
        <v>239</v>
      </c>
      <c r="B244" s="18" t="s">
        <v>343</v>
      </c>
      <c r="C244" s="18" t="s">
        <v>127</v>
      </c>
      <c r="D244" s="21" t="s">
        <v>344</v>
      </c>
      <c r="E244" s="18" t="s">
        <v>36</v>
      </c>
      <c r="F244" s="20">
        <v>44993</v>
      </c>
      <c r="G244" s="18" t="s">
        <v>20</v>
      </c>
      <c r="H244" s="20"/>
      <c r="I244" s="18" t="s">
        <v>17</v>
      </c>
      <c r="J244" s="18" t="s">
        <v>18</v>
      </c>
      <c r="K244" s="21" t="s">
        <v>345</v>
      </c>
    </row>
    <row r="245" spans="1:11">
      <c r="A245" s="12">
        <f>_xlfn.AGGREGATE(3,1,$B$6:B245)</f>
        <v>240</v>
      </c>
      <c r="B245" s="13" t="s">
        <v>343</v>
      </c>
      <c r="C245" s="13" t="s">
        <v>346</v>
      </c>
      <c r="D245" s="16" t="s">
        <v>347</v>
      </c>
      <c r="E245" s="13" t="s">
        <v>38</v>
      </c>
      <c r="F245" s="15">
        <v>44993</v>
      </c>
      <c r="G245" s="13" t="s">
        <v>77</v>
      </c>
      <c r="H245" s="15"/>
      <c r="I245" s="13" t="s">
        <v>17</v>
      </c>
      <c r="J245" s="13" t="s">
        <v>18</v>
      </c>
      <c r="K245" s="16" t="s">
        <v>348</v>
      </c>
    </row>
    <row r="246" spans="1:11" ht="28.9">
      <c r="A246" s="17">
        <f>_xlfn.AGGREGATE(3,1,$B$6:B246)</f>
        <v>241</v>
      </c>
      <c r="B246" s="18" t="s">
        <v>343</v>
      </c>
      <c r="C246" s="18" t="s">
        <v>47</v>
      </c>
      <c r="D246" s="21" t="s">
        <v>349</v>
      </c>
      <c r="E246" s="18" t="s">
        <v>36</v>
      </c>
      <c r="F246" s="20">
        <v>44993</v>
      </c>
      <c r="G246" s="18" t="s">
        <v>16</v>
      </c>
      <c r="H246" s="20"/>
      <c r="I246" s="18" t="s">
        <v>26</v>
      </c>
      <c r="J246" s="18" t="s">
        <v>18</v>
      </c>
      <c r="K246" s="21"/>
    </row>
    <row r="247" spans="1:11" ht="43.15">
      <c r="A247" s="12">
        <f>_xlfn.AGGREGATE(3,1,$B$6:B247)</f>
        <v>242</v>
      </c>
      <c r="B247" s="13" t="s">
        <v>343</v>
      </c>
      <c r="C247" s="13" t="s">
        <v>47</v>
      </c>
      <c r="D247" s="16" t="s">
        <v>350</v>
      </c>
      <c r="E247" s="13" t="s">
        <v>36</v>
      </c>
      <c r="F247" s="15">
        <v>44993</v>
      </c>
      <c r="G247" s="13" t="s">
        <v>16</v>
      </c>
      <c r="H247" s="15"/>
      <c r="I247" s="13" t="s">
        <v>26</v>
      </c>
      <c r="J247" s="13" t="s">
        <v>18</v>
      </c>
      <c r="K247" s="16"/>
    </row>
    <row r="248" spans="1:11" ht="43.15">
      <c r="A248" s="17">
        <f>_xlfn.AGGREGATE(3,1,$B$6:B248)</f>
        <v>243</v>
      </c>
      <c r="B248" s="18" t="s">
        <v>343</v>
      </c>
      <c r="C248" s="18" t="s">
        <v>123</v>
      </c>
      <c r="D248" s="21" t="s">
        <v>351</v>
      </c>
      <c r="E248" s="18" t="s">
        <v>38</v>
      </c>
      <c r="F248" s="20">
        <v>44993</v>
      </c>
      <c r="G248" s="18" t="s">
        <v>16</v>
      </c>
      <c r="H248" s="20"/>
      <c r="I248" s="18" t="s">
        <v>26</v>
      </c>
      <c r="J248" s="18" t="s">
        <v>18</v>
      </c>
      <c r="K248" s="21"/>
    </row>
    <row r="249" spans="1:11" ht="43.15">
      <c r="A249" s="12">
        <f>_xlfn.AGGREGATE(3,1,$B$6:B249)</f>
        <v>244</v>
      </c>
      <c r="B249" s="13" t="s">
        <v>352</v>
      </c>
      <c r="C249" s="13" t="s">
        <v>353</v>
      </c>
      <c r="D249" s="16" t="s">
        <v>354</v>
      </c>
      <c r="E249" s="13" t="s">
        <v>355</v>
      </c>
      <c r="F249" s="15">
        <v>44999</v>
      </c>
      <c r="G249" s="13" t="s">
        <v>16</v>
      </c>
      <c r="H249" s="15"/>
      <c r="I249" s="13" t="s">
        <v>17</v>
      </c>
      <c r="J249" s="13" t="s">
        <v>18</v>
      </c>
      <c r="K249" s="16" t="s">
        <v>356</v>
      </c>
    </row>
    <row r="250" spans="1:11" ht="28.9">
      <c r="A250" s="17">
        <f>_xlfn.AGGREGATE(3,1,$B$6:B250)</f>
        <v>245</v>
      </c>
      <c r="B250" s="18" t="s">
        <v>352</v>
      </c>
      <c r="C250" s="18" t="s">
        <v>357</v>
      </c>
      <c r="D250" s="21" t="s">
        <v>358</v>
      </c>
      <c r="E250" s="18" t="s">
        <v>355</v>
      </c>
      <c r="F250" s="20">
        <v>44999</v>
      </c>
      <c r="G250" s="18" t="s">
        <v>16</v>
      </c>
      <c r="H250" s="20"/>
      <c r="I250" s="18" t="s">
        <v>17</v>
      </c>
      <c r="J250" s="18" t="s">
        <v>18</v>
      </c>
      <c r="K250" s="21" t="s">
        <v>359</v>
      </c>
    </row>
    <row r="251" spans="1:11" ht="28.9">
      <c r="A251" s="12">
        <f>_xlfn.AGGREGATE(3,1,$B$6:B251)</f>
        <v>246</v>
      </c>
      <c r="B251" s="13" t="s">
        <v>352</v>
      </c>
      <c r="C251" s="13" t="s">
        <v>360</v>
      </c>
      <c r="D251" s="16" t="s">
        <v>358</v>
      </c>
      <c r="E251" s="13" t="s">
        <v>355</v>
      </c>
      <c r="F251" s="15">
        <v>44999</v>
      </c>
      <c r="G251" s="13" t="s">
        <v>16</v>
      </c>
      <c r="H251" s="15"/>
      <c r="I251" s="13" t="s">
        <v>17</v>
      </c>
      <c r="J251" s="13" t="s">
        <v>18</v>
      </c>
      <c r="K251" s="16" t="s">
        <v>359</v>
      </c>
    </row>
    <row r="252" spans="1:11" ht="28.9">
      <c r="A252" s="17">
        <f>_xlfn.AGGREGATE(3,1,$B$6:B252)</f>
        <v>247</v>
      </c>
      <c r="B252" s="18" t="s">
        <v>352</v>
      </c>
      <c r="C252" s="18" t="s">
        <v>361</v>
      </c>
      <c r="D252" s="21" t="s">
        <v>358</v>
      </c>
      <c r="E252" s="18" t="s">
        <v>355</v>
      </c>
      <c r="F252" s="20">
        <v>44999</v>
      </c>
      <c r="G252" s="18" t="s">
        <v>16</v>
      </c>
      <c r="H252" s="20"/>
      <c r="I252" s="18" t="s">
        <v>17</v>
      </c>
      <c r="J252" s="18" t="s">
        <v>18</v>
      </c>
      <c r="K252" s="21" t="s">
        <v>359</v>
      </c>
    </row>
    <row r="253" spans="1:11" ht="28.9">
      <c r="A253" s="12">
        <f>_xlfn.AGGREGATE(3,1,$B$6:B253)</f>
        <v>248</v>
      </c>
      <c r="B253" s="13" t="s">
        <v>352</v>
      </c>
      <c r="C253" s="13" t="s">
        <v>353</v>
      </c>
      <c r="D253" s="16" t="s">
        <v>358</v>
      </c>
      <c r="E253" s="13" t="s">
        <v>355</v>
      </c>
      <c r="F253" s="15">
        <v>44999</v>
      </c>
      <c r="G253" s="13" t="s">
        <v>16</v>
      </c>
      <c r="H253" s="15"/>
      <c r="I253" s="13" t="s">
        <v>17</v>
      </c>
      <c r="J253" s="13" t="s">
        <v>18</v>
      </c>
      <c r="K253" s="16" t="s">
        <v>359</v>
      </c>
    </row>
    <row r="254" spans="1:11" ht="28.9">
      <c r="A254" s="17">
        <f>_xlfn.AGGREGATE(3,1,$B$6:B254)</f>
        <v>249</v>
      </c>
      <c r="B254" s="18" t="s">
        <v>352</v>
      </c>
      <c r="C254" s="18" t="s">
        <v>361</v>
      </c>
      <c r="D254" s="21" t="s">
        <v>362</v>
      </c>
      <c r="E254" s="18" t="s">
        <v>355</v>
      </c>
      <c r="F254" s="20">
        <v>44999</v>
      </c>
      <c r="G254" s="18" t="s">
        <v>77</v>
      </c>
      <c r="H254" s="20"/>
      <c r="I254" s="18" t="s">
        <v>17</v>
      </c>
      <c r="J254" s="18" t="s">
        <v>18</v>
      </c>
      <c r="K254" s="21" t="s">
        <v>239</v>
      </c>
    </row>
    <row r="255" spans="1:11" ht="72">
      <c r="A255" s="12">
        <f>_xlfn.AGGREGATE(3,1,$B$6:B255)</f>
        <v>250</v>
      </c>
      <c r="B255" s="13" t="s">
        <v>352</v>
      </c>
      <c r="C255" s="13" t="s">
        <v>47</v>
      </c>
      <c r="D255" s="16" t="s">
        <v>363</v>
      </c>
      <c r="E255" s="13" t="s">
        <v>69</v>
      </c>
      <c r="F255" s="15">
        <v>44999</v>
      </c>
      <c r="G255" s="13" t="s">
        <v>20</v>
      </c>
      <c r="H255" s="15"/>
      <c r="I255" s="13" t="s">
        <v>17</v>
      </c>
      <c r="J255" s="13" t="s">
        <v>18</v>
      </c>
      <c r="K255" s="16" t="s">
        <v>364</v>
      </c>
    </row>
    <row r="256" spans="1:11" ht="28.9">
      <c r="A256" s="17">
        <f>_xlfn.AGGREGATE(3,1,$B$6:B256)</f>
        <v>251</v>
      </c>
      <c r="B256" s="18" t="s">
        <v>352</v>
      </c>
      <c r="C256" s="18" t="s">
        <v>365</v>
      </c>
      <c r="D256" s="21" t="s">
        <v>358</v>
      </c>
      <c r="E256" s="18" t="s">
        <v>69</v>
      </c>
      <c r="F256" s="20">
        <v>44999</v>
      </c>
      <c r="G256" s="18" t="s">
        <v>16</v>
      </c>
      <c r="H256" s="20"/>
      <c r="I256" s="18" t="s">
        <v>17</v>
      </c>
      <c r="J256" s="18" t="s">
        <v>18</v>
      </c>
      <c r="K256" s="21" t="s">
        <v>359</v>
      </c>
    </row>
    <row r="257" spans="1:11" ht="28.9">
      <c r="A257" s="12">
        <f>_xlfn.AGGREGATE(3,1,$B$6:B257)</f>
        <v>252</v>
      </c>
      <c r="B257" s="13" t="s">
        <v>352</v>
      </c>
      <c r="C257" s="13" t="s">
        <v>365</v>
      </c>
      <c r="D257" s="16" t="s">
        <v>366</v>
      </c>
      <c r="E257" s="13" t="s">
        <v>69</v>
      </c>
      <c r="F257" s="15">
        <v>44999</v>
      </c>
      <c r="G257" s="13" t="s">
        <v>20</v>
      </c>
      <c r="H257" s="15"/>
      <c r="I257" s="13" t="s">
        <v>17</v>
      </c>
      <c r="J257" s="13" t="s">
        <v>18</v>
      </c>
      <c r="K257" s="16" t="s">
        <v>367</v>
      </c>
    </row>
    <row r="258" spans="1:11" ht="28.9">
      <c r="A258" s="17">
        <f>_xlfn.AGGREGATE(3,1,$B$6:B258)</f>
        <v>253</v>
      </c>
      <c r="B258" s="18" t="s">
        <v>352</v>
      </c>
      <c r="C258" s="18" t="s">
        <v>21</v>
      </c>
      <c r="D258" s="21" t="s">
        <v>368</v>
      </c>
      <c r="E258" s="18" t="s">
        <v>69</v>
      </c>
      <c r="F258" s="20">
        <v>44999</v>
      </c>
      <c r="G258" s="18" t="s">
        <v>16</v>
      </c>
      <c r="H258" s="20"/>
      <c r="I258" s="18" t="s">
        <v>17</v>
      </c>
      <c r="J258" s="18" t="s">
        <v>18</v>
      </c>
      <c r="K258" s="21" t="s">
        <v>253</v>
      </c>
    </row>
    <row r="259" spans="1:11" ht="86.45">
      <c r="A259" s="12">
        <f>_xlfn.AGGREGATE(3,1,$B$6:B259)</f>
        <v>254</v>
      </c>
      <c r="B259" s="13" t="s">
        <v>352</v>
      </c>
      <c r="C259" s="13" t="s">
        <v>21</v>
      </c>
      <c r="D259" s="16" t="s">
        <v>341</v>
      </c>
      <c r="E259" s="13" t="s">
        <v>69</v>
      </c>
      <c r="F259" s="15">
        <v>44999</v>
      </c>
      <c r="G259" s="13" t="s">
        <v>20</v>
      </c>
      <c r="H259" s="15"/>
      <c r="I259" s="13" t="s">
        <v>26</v>
      </c>
      <c r="J259" s="13" t="s">
        <v>18</v>
      </c>
      <c r="K259" s="16" t="s">
        <v>257</v>
      </c>
    </row>
    <row r="260" spans="1:11" ht="86.45">
      <c r="A260" s="17">
        <f>_xlfn.AGGREGATE(3,1,$B$6:B260)</f>
        <v>255</v>
      </c>
      <c r="B260" s="18" t="s">
        <v>352</v>
      </c>
      <c r="C260" s="18" t="s">
        <v>28</v>
      </c>
      <c r="D260" s="21" t="s">
        <v>341</v>
      </c>
      <c r="E260" s="18" t="s">
        <v>69</v>
      </c>
      <c r="F260" s="20">
        <v>44999</v>
      </c>
      <c r="G260" s="18" t="s">
        <v>20</v>
      </c>
      <c r="H260" s="20"/>
      <c r="I260" s="18" t="s">
        <v>26</v>
      </c>
      <c r="J260" s="18" t="s">
        <v>18</v>
      </c>
      <c r="K260" s="21" t="s">
        <v>257</v>
      </c>
    </row>
    <row r="261" spans="1:11" ht="28.9">
      <c r="A261" s="12">
        <f>_xlfn.AGGREGATE(3,1,$B$6:B261)</f>
        <v>256</v>
      </c>
      <c r="B261" s="13" t="s">
        <v>369</v>
      </c>
      <c r="C261" s="13" t="s">
        <v>294</v>
      </c>
      <c r="D261" s="16" t="s">
        <v>370</v>
      </c>
      <c r="E261" s="13" t="s">
        <v>330</v>
      </c>
      <c r="F261" s="15">
        <v>45001</v>
      </c>
      <c r="G261" s="13" t="s">
        <v>20</v>
      </c>
      <c r="H261" s="15"/>
      <c r="I261" s="13" t="s">
        <v>17</v>
      </c>
      <c r="J261" s="13" t="s">
        <v>18</v>
      </c>
      <c r="K261" s="16" t="s">
        <v>371</v>
      </c>
    </row>
    <row r="262" spans="1:11" ht="28.9">
      <c r="A262" s="17">
        <f>_xlfn.AGGREGATE(3,1,$B$6:B262)</f>
        <v>257</v>
      </c>
      <c r="B262" s="18" t="s">
        <v>369</v>
      </c>
      <c r="C262" s="18" t="s">
        <v>294</v>
      </c>
      <c r="D262" s="21" t="s">
        <v>344</v>
      </c>
      <c r="E262" s="18" t="s">
        <v>330</v>
      </c>
      <c r="F262" s="20">
        <v>45001</v>
      </c>
      <c r="G262" s="18" t="s">
        <v>20</v>
      </c>
      <c r="H262" s="20"/>
      <c r="I262" s="18" t="s">
        <v>17</v>
      </c>
      <c r="J262" s="18" t="s">
        <v>18</v>
      </c>
      <c r="K262" s="21"/>
    </row>
    <row r="263" spans="1:11" ht="28.9">
      <c r="A263" s="12">
        <f>_xlfn.AGGREGATE(3,1,$B$6:B263)</f>
        <v>258</v>
      </c>
      <c r="B263" s="13" t="s">
        <v>369</v>
      </c>
      <c r="C263" s="13" t="s">
        <v>372</v>
      </c>
      <c r="D263" s="16" t="s">
        <v>362</v>
      </c>
      <c r="E263" s="13" t="s">
        <v>330</v>
      </c>
      <c r="F263" s="15">
        <v>45001</v>
      </c>
      <c r="G263" s="13" t="s">
        <v>77</v>
      </c>
      <c r="H263" s="15"/>
      <c r="I263" s="13" t="s">
        <v>17</v>
      </c>
      <c r="J263" s="13" t="s">
        <v>18</v>
      </c>
      <c r="K263" s="16"/>
    </row>
    <row r="264" spans="1:11" ht="28.9">
      <c r="A264" s="17">
        <f>_xlfn.AGGREGATE(3,1,$B$6:B264)</f>
        <v>259</v>
      </c>
      <c r="B264" s="18" t="s">
        <v>369</v>
      </c>
      <c r="C264" s="18" t="s">
        <v>294</v>
      </c>
      <c r="D264" s="21" t="s">
        <v>373</v>
      </c>
      <c r="E264" s="18" t="s">
        <v>330</v>
      </c>
      <c r="F264" s="20">
        <v>45001</v>
      </c>
      <c r="G264" s="18" t="s">
        <v>77</v>
      </c>
      <c r="H264" s="20"/>
      <c r="I264" s="18" t="s">
        <v>17</v>
      </c>
      <c r="J264" s="18" t="s">
        <v>18</v>
      </c>
      <c r="K264" s="21"/>
    </row>
    <row r="265" spans="1:11" ht="28.9">
      <c r="A265" s="12">
        <f>_xlfn.AGGREGATE(3,1,$B$6:B265)</f>
        <v>260</v>
      </c>
      <c r="B265" s="13" t="s">
        <v>369</v>
      </c>
      <c r="C265" s="13" t="s">
        <v>72</v>
      </c>
      <c r="D265" s="16" t="s">
        <v>172</v>
      </c>
      <c r="E265" s="13" t="s">
        <v>183</v>
      </c>
      <c r="F265" s="15">
        <v>45001</v>
      </c>
      <c r="G265" s="13" t="s">
        <v>16</v>
      </c>
      <c r="H265" s="15"/>
      <c r="I265" s="13" t="s">
        <v>17</v>
      </c>
      <c r="J265" s="13" t="s">
        <v>18</v>
      </c>
      <c r="K265" s="16"/>
    </row>
    <row r="266" spans="1:11" ht="43.15">
      <c r="A266" s="17">
        <f>_xlfn.AGGREGATE(3,1,$B$6:B266)</f>
        <v>261</v>
      </c>
      <c r="B266" s="18" t="s">
        <v>374</v>
      </c>
      <c r="C266" s="18" t="s">
        <v>21</v>
      </c>
      <c r="D266" s="21" t="s">
        <v>375</v>
      </c>
      <c r="E266" s="18" t="s">
        <v>38</v>
      </c>
      <c r="F266" s="20">
        <v>45013</v>
      </c>
      <c r="G266" s="18" t="s">
        <v>20</v>
      </c>
      <c r="H266" s="20"/>
      <c r="I266" s="18" t="s">
        <v>17</v>
      </c>
      <c r="J266" s="18" t="s">
        <v>18</v>
      </c>
      <c r="K266" s="21" t="s">
        <v>376</v>
      </c>
    </row>
    <row r="267" spans="1:11" ht="28.9">
      <c r="A267" s="12">
        <f>_xlfn.AGGREGATE(3,1,$B$6:B267)</f>
        <v>262</v>
      </c>
      <c r="B267" s="13" t="s">
        <v>374</v>
      </c>
      <c r="C267" s="13" t="s">
        <v>346</v>
      </c>
      <c r="D267" s="16" t="s">
        <v>377</v>
      </c>
      <c r="E267" s="13" t="s">
        <v>38</v>
      </c>
      <c r="F267" s="15">
        <v>45013</v>
      </c>
      <c r="G267" s="13" t="s">
        <v>16</v>
      </c>
      <c r="H267" s="15"/>
      <c r="I267" s="13" t="s">
        <v>17</v>
      </c>
      <c r="J267" s="13" t="s">
        <v>18</v>
      </c>
      <c r="K267" s="16"/>
    </row>
    <row r="268" spans="1:11" ht="28.9">
      <c r="A268" s="17">
        <f>_xlfn.AGGREGATE(3,1,$B$6:B268)</f>
        <v>263</v>
      </c>
      <c r="B268" s="18" t="s">
        <v>374</v>
      </c>
      <c r="C268" s="18" t="s">
        <v>21</v>
      </c>
      <c r="D268" s="21" t="s">
        <v>378</v>
      </c>
      <c r="E268" s="18" t="s">
        <v>38</v>
      </c>
      <c r="F268" s="20">
        <v>45013</v>
      </c>
      <c r="G268" s="18" t="s">
        <v>16</v>
      </c>
      <c r="H268" s="20"/>
      <c r="I268" s="18" t="s">
        <v>17</v>
      </c>
      <c r="J268" s="18" t="s">
        <v>18</v>
      </c>
      <c r="K268" s="21"/>
    </row>
    <row r="269" spans="1:11" ht="28.9">
      <c r="A269" s="12">
        <f>_xlfn.AGGREGATE(3,1,$B$6:B269)</f>
        <v>264</v>
      </c>
      <c r="B269" s="13" t="s">
        <v>374</v>
      </c>
      <c r="C269" s="13" t="s">
        <v>114</v>
      </c>
      <c r="D269" s="16" t="s">
        <v>377</v>
      </c>
      <c r="E269" s="13" t="s">
        <v>42</v>
      </c>
      <c r="F269" s="15">
        <v>45013</v>
      </c>
      <c r="G269" s="13" t="s">
        <v>16</v>
      </c>
      <c r="H269" s="15"/>
      <c r="I269" s="13" t="s">
        <v>17</v>
      </c>
      <c r="J269" s="13" t="s">
        <v>18</v>
      </c>
      <c r="K269" s="16" t="s">
        <v>379</v>
      </c>
    </row>
    <row r="270" spans="1:11" ht="28.9">
      <c r="A270" s="17">
        <f>_xlfn.AGGREGATE(3,1,$B$6:B270)</f>
        <v>265</v>
      </c>
      <c r="B270" s="18" t="s">
        <v>380</v>
      </c>
      <c r="C270" s="18" t="s">
        <v>381</v>
      </c>
      <c r="D270" s="21" t="s">
        <v>377</v>
      </c>
      <c r="E270" s="18" t="s">
        <v>382</v>
      </c>
      <c r="F270" s="20">
        <v>45015</v>
      </c>
      <c r="G270" s="18" t="s">
        <v>16</v>
      </c>
      <c r="H270" s="20"/>
      <c r="I270" s="18" t="s">
        <v>17</v>
      </c>
      <c r="J270" s="18" t="s">
        <v>18</v>
      </c>
      <c r="K270" s="21" t="s">
        <v>379</v>
      </c>
    </row>
    <row r="271" spans="1:11" ht="57.6">
      <c r="A271" s="12">
        <f>_xlfn.AGGREGATE(3,1,$B$6:B271)</f>
        <v>266</v>
      </c>
      <c r="B271" s="13" t="s">
        <v>380</v>
      </c>
      <c r="C271" s="13" t="s">
        <v>381</v>
      </c>
      <c r="D271" s="16" t="s">
        <v>383</v>
      </c>
      <c r="E271" s="13" t="s">
        <v>382</v>
      </c>
      <c r="F271" s="15">
        <v>45015</v>
      </c>
      <c r="G271" s="13" t="s">
        <v>20</v>
      </c>
      <c r="H271" s="15"/>
      <c r="I271" s="13" t="s">
        <v>17</v>
      </c>
      <c r="J271" s="13" t="s">
        <v>18</v>
      </c>
      <c r="K271" s="16" t="s">
        <v>384</v>
      </c>
    </row>
    <row r="272" spans="1:11" ht="28.9">
      <c r="A272" s="17">
        <f>_xlfn.AGGREGATE(3,1,$B$6:B272)</f>
        <v>267</v>
      </c>
      <c r="B272" s="18" t="s">
        <v>380</v>
      </c>
      <c r="C272" s="18" t="s">
        <v>144</v>
      </c>
      <c r="D272" s="21" t="s">
        <v>385</v>
      </c>
      <c r="E272" s="18" t="s">
        <v>386</v>
      </c>
      <c r="F272" s="20">
        <v>45015</v>
      </c>
      <c r="G272" s="18" t="s">
        <v>16</v>
      </c>
      <c r="H272" s="20"/>
      <c r="I272" s="18" t="s">
        <v>17</v>
      </c>
      <c r="J272" s="18" t="s">
        <v>18</v>
      </c>
      <c r="K272" s="21"/>
    </row>
    <row r="273" spans="1:11" ht="28.9">
      <c r="A273" s="12">
        <f>_xlfn.AGGREGATE(3,1,$B$6:B273)</f>
        <v>268</v>
      </c>
      <c r="B273" s="13" t="s">
        <v>380</v>
      </c>
      <c r="C273" s="13" t="s">
        <v>28</v>
      </c>
      <c r="D273" s="16" t="s">
        <v>387</v>
      </c>
      <c r="E273" s="13" t="s">
        <v>388</v>
      </c>
      <c r="F273" s="15">
        <v>45015</v>
      </c>
      <c r="G273" s="13" t="s">
        <v>77</v>
      </c>
      <c r="H273" s="15"/>
      <c r="I273" s="13" t="s">
        <v>17</v>
      </c>
      <c r="J273" s="13" t="s">
        <v>18</v>
      </c>
      <c r="K273" s="16"/>
    </row>
    <row r="274" spans="1:11" ht="28.9">
      <c r="A274" s="17">
        <f>_xlfn.AGGREGATE(3,1,$B$6:B274)</f>
        <v>269</v>
      </c>
      <c r="B274" s="18" t="s">
        <v>389</v>
      </c>
      <c r="C274" s="18" t="s">
        <v>100</v>
      </c>
      <c r="D274" s="21" t="s">
        <v>390</v>
      </c>
      <c r="E274" s="18" t="s">
        <v>30</v>
      </c>
      <c r="F274" s="20">
        <v>45021</v>
      </c>
      <c r="G274" s="18" t="s">
        <v>77</v>
      </c>
      <c r="H274" s="20"/>
      <c r="I274" s="18" t="s">
        <v>17</v>
      </c>
      <c r="J274" s="18" t="s">
        <v>18</v>
      </c>
      <c r="K274" s="21" t="s">
        <v>391</v>
      </c>
    </row>
    <row r="275" spans="1:11">
      <c r="A275" s="12">
        <f>_xlfn.AGGREGATE(3,1,$B$6:B275)</f>
        <v>270</v>
      </c>
      <c r="B275" s="13" t="s">
        <v>389</v>
      </c>
      <c r="C275" s="13" t="s">
        <v>114</v>
      </c>
      <c r="D275" s="16" t="s">
        <v>392</v>
      </c>
      <c r="E275" s="13" t="s">
        <v>393</v>
      </c>
      <c r="F275" s="15">
        <v>45021</v>
      </c>
      <c r="G275" s="13" t="s">
        <v>16</v>
      </c>
      <c r="H275" s="15"/>
      <c r="I275" s="13" t="s">
        <v>17</v>
      </c>
      <c r="J275" s="13" t="s">
        <v>18</v>
      </c>
      <c r="K275" s="16"/>
    </row>
    <row r="276" spans="1:11" ht="28.9">
      <c r="A276" s="17">
        <f>_xlfn.AGGREGATE(3,1,$B$6:B276)</f>
        <v>271</v>
      </c>
      <c r="B276" s="18" t="s">
        <v>389</v>
      </c>
      <c r="C276" s="18" t="s">
        <v>140</v>
      </c>
      <c r="D276" s="21" t="s">
        <v>394</v>
      </c>
      <c r="E276" s="18" t="s">
        <v>183</v>
      </c>
      <c r="F276" s="20">
        <v>45021</v>
      </c>
      <c r="G276" s="18" t="s">
        <v>16</v>
      </c>
      <c r="H276" s="20"/>
      <c r="I276" s="18" t="s">
        <v>17</v>
      </c>
      <c r="J276" s="18" t="s">
        <v>18</v>
      </c>
      <c r="K276" s="21" t="s">
        <v>395</v>
      </c>
    </row>
    <row r="277" spans="1:11" ht="28.9">
      <c r="A277" s="12">
        <f>_xlfn.AGGREGATE(3,1,$B$6:B277)</f>
        <v>272</v>
      </c>
      <c r="B277" s="13" t="s">
        <v>389</v>
      </c>
      <c r="C277" s="13" t="s">
        <v>47</v>
      </c>
      <c r="D277" s="16" t="s">
        <v>396</v>
      </c>
      <c r="E277" s="13" t="s">
        <v>393</v>
      </c>
      <c r="F277" s="15">
        <v>45021</v>
      </c>
      <c r="G277" s="13" t="s">
        <v>16</v>
      </c>
      <c r="H277" s="15"/>
      <c r="I277" s="13" t="s">
        <v>26</v>
      </c>
      <c r="J277" s="13" t="s">
        <v>18</v>
      </c>
      <c r="K277" s="16"/>
    </row>
    <row r="278" spans="1:11" ht="43.15">
      <c r="A278" s="17">
        <f>_xlfn.AGGREGATE(3,1,$B$6:B278)</f>
        <v>273</v>
      </c>
      <c r="B278" s="18" t="s">
        <v>389</v>
      </c>
      <c r="C278" s="18" t="s">
        <v>47</v>
      </c>
      <c r="D278" s="21" t="s">
        <v>397</v>
      </c>
      <c r="E278" s="18" t="s">
        <v>159</v>
      </c>
      <c r="F278" s="20">
        <v>45021</v>
      </c>
      <c r="G278" s="18" t="s">
        <v>20</v>
      </c>
      <c r="H278" s="20"/>
      <c r="I278" s="18" t="s">
        <v>26</v>
      </c>
      <c r="J278" s="18" t="s">
        <v>18</v>
      </c>
      <c r="K278" s="21"/>
    </row>
    <row r="279" spans="1:11" ht="28.9">
      <c r="A279" s="12">
        <f>_xlfn.AGGREGATE(3,1,$B$6:B279)</f>
        <v>274</v>
      </c>
      <c r="B279" s="13" t="s">
        <v>398</v>
      </c>
      <c r="C279" s="13" t="s">
        <v>40</v>
      </c>
      <c r="D279" s="16" t="s">
        <v>399</v>
      </c>
      <c r="E279" s="13" t="s">
        <v>95</v>
      </c>
      <c r="F279" s="15">
        <v>45026</v>
      </c>
      <c r="G279" s="13" t="s">
        <v>77</v>
      </c>
      <c r="H279" s="15"/>
      <c r="I279" s="13" t="s">
        <v>17</v>
      </c>
      <c r="J279" s="13" t="s">
        <v>18</v>
      </c>
      <c r="K279" s="16" t="s">
        <v>379</v>
      </c>
    </row>
    <row r="280" spans="1:11" ht="28.9">
      <c r="A280" s="17">
        <f>_xlfn.AGGREGATE(3,1,$B$6:B280)</f>
        <v>275</v>
      </c>
      <c r="B280" s="18" t="s">
        <v>398</v>
      </c>
      <c r="C280" s="18" t="s">
        <v>47</v>
      </c>
      <c r="D280" s="21" t="s">
        <v>400</v>
      </c>
      <c r="E280" s="18" t="s">
        <v>401</v>
      </c>
      <c r="F280" s="20">
        <v>45026</v>
      </c>
      <c r="G280" s="18" t="s">
        <v>16</v>
      </c>
      <c r="H280" s="20"/>
      <c r="I280" s="18" t="s">
        <v>26</v>
      </c>
      <c r="J280" s="18" t="s">
        <v>18</v>
      </c>
      <c r="K280" s="21" t="s">
        <v>257</v>
      </c>
    </row>
    <row r="281" spans="1:11" ht="28.9">
      <c r="A281" s="12">
        <f>_xlfn.AGGREGATE(3,1,$B$6:B281)</f>
        <v>276</v>
      </c>
      <c r="B281" s="13" t="s">
        <v>398</v>
      </c>
      <c r="C281" s="13" t="s">
        <v>47</v>
      </c>
      <c r="D281" s="16" t="s">
        <v>402</v>
      </c>
      <c r="E281" s="13" t="s">
        <v>401</v>
      </c>
      <c r="F281" s="15">
        <v>45026</v>
      </c>
      <c r="G281" s="13" t="s">
        <v>16</v>
      </c>
      <c r="H281" s="15"/>
      <c r="I281" s="13" t="s">
        <v>26</v>
      </c>
      <c r="J281" s="13" t="s">
        <v>18</v>
      </c>
      <c r="K281" s="16"/>
    </row>
    <row r="282" spans="1:11" ht="28.9">
      <c r="A282" s="17">
        <f>_xlfn.AGGREGATE(3,1,$B$6:B282)</f>
        <v>277</v>
      </c>
      <c r="B282" s="18" t="s">
        <v>398</v>
      </c>
      <c r="C282" s="18" t="s">
        <v>144</v>
      </c>
      <c r="D282" s="21" t="s">
        <v>285</v>
      </c>
      <c r="E282" s="18" t="s">
        <v>401</v>
      </c>
      <c r="F282" s="20">
        <v>45026</v>
      </c>
      <c r="G282" s="18" t="s">
        <v>16</v>
      </c>
      <c r="H282" s="20"/>
      <c r="I282" s="18" t="s">
        <v>26</v>
      </c>
      <c r="J282" s="18" t="s">
        <v>18</v>
      </c>
      <c r="K282" s="21" t="s">
        <v>403</v>
      </c>
    </row>
    <row r="283" spans="1:11" ht="28.9">
      <c r="A283" s="12">
        <f>_xlfn.AGGREGATE(3,1,$B$6:B283)</f>
        <v>278</v>
      </c>
      <c r="B283" s="13" t="s">
        <v>398</v>
      </c>
      <c r="C283" s="13" t="s">
        <v>40</v>
      </c>
      <c r="D283" s="16" t="s">
        <v>134</v>
      </c>
      <c r="E283" s="13" t="s">
        <v>95</v>
      </c>
      <c r="F283" s="15">
        <v>45026</v>
      </c>
      <c r="G283" s="13" t="s">
        <v>16</v>
      </c>
      <c r="H283" s="15"/>
      <c r="I283" s="13" t="s">
        <v>26</v>
      </c>
      <c r="J283" s="13" t="s">
        <v>18</v>
      </c>
      <c r="K283" s="16" t="s">
        <v>404</v>
      </c>
    </row>
    <row r="284" spans="1:11" ht="72">
      <c r="A284" s="17">
        <f>_xlfn.AGGREGATE(3,1,$B$6:B284)</f>
        <v>279</v>
      </c>
      <c r="B284" s="18" t="s">
        <v>405</v>
      </c>
      <c r="C284" s="18" t="s">
        <v>116</v>
      </c>
      <c r="D284" s="21" t="s">
        <v>406</v>
      </c>
      <c r="E284" s="18" t="s">
        <v>56</v>
      </c>
      <c r="F284" s="20">
        <v>45026</v>
      </c>
      <c r="G284" s="18" t="s">
        <v>16</v>
      </c>
      <c r="H284" s="20"/>
      <c r="I284" s="18" t="s">
        <v>17</v>
      </c>
      <c r="J284" s="18" t="s">
        <v>18</v>
      </c>
      <c r="K284" s="21" t="s">
        <v>407</v>
      </c>
    </row>
    <row r="285" spans="1:11" ht="43.15">
      <c r="A285" s="12">
        <f>_xlfn.AGGREGATE(3,1,$B$6:B285)</f>
        <v>280</v>
      </c>
      <c r="B285" s="13" t="s">
        <v>405</v>
      </c>
      <c r="C285" s="13" t="s">
        <v>116</v>
      </c>
      <c r="D285" s="16" t="s">
        <v>408</v>
      </c>
      <c r="E285" s="13" t="s">
        <v>56</v>
      </c>
      <c r="F285" s="15">
        <v>45026</v>
      </c>
      <c r="G285" s="13" t="s">
        <v>16</v>
      </c>
      <c r="H285" s="15"/>
      <c r="I285" s="13" t="s">
        <v>17</v>
      </c>
      <c r="J285" s="13" t="s">
        <v>18</v>
      </c>
      <c r="K285" s="16"/>
    </row>
    <row r="286" spans="1:11" ht="28.9">
      <c r="A286" s="17">
        <f>_xlfn.AGGREGATE(3,1,$B$6:B286)</f>
        <v>281</v>
      </c>
      <c r="B286" s="18" t="s">
        <v>405</v>
      </c>
      <c r="C286" s="18" t="s">
        <v>116</v>
      </c>
      <c r="D286" s="21" t="s">
        <v>409</v>
      </c>
      <c r="E286" s="18" t="s">
        <v>56</v>
      </c>
      <c r="F286" s="20">
        <v>45026</v>
      </c>
      <c r="G286" s="18" t="s">
        <v>77</v>
      </c>
      <c r="H286" s="20"/>
      <c r="I286" s="18" t="s">
        <v>17</v>
      </c>
      <c r="J286" s="18" t="s">
        <v>18</v>
      </c>
      <c r="K286" s="21" t="s">
        <v>379</v>
      </c>
    </row>
    <row r="287" spans="1:11" ht="28.9">
      <c r="A287" s="12">
        <f>_xlfn.AGGREGATE(3,1,$B$6:B287)</f>
        <v>282</v>
      </c>
      <c r="B287" s="13" t="s">
        <v>405</v>
      </c>
      <c r="C287" s="13" t="s">
        <v>93</v>
      </c>
      <c r="D287" s="16" t="s">
        <v>410</v>
      </c>
      <c r="E287" s="13" t="s">
        <v>411</v>
      </c>
      <c r="F287" s="15">
        <v>45026</v>
      </c>
      <c r="G287" s="13" t="s">
        <v>20</v>
      </c>
      <c r="H287" s="15"/>
      <c r="I287" s="13" t="s">
        <v>17</v>
      </c>
      <c r="J287" s="13" t="s">
        <v>18</v>
      </c>
      <c r="K287" s="16" t="s">
        <v>412</v>
      </c>
    </row>
    <row r="288" spans="1:11" ht="43.15">
      <c r="A288" s="17">
        <f>_xlfn.AGGREGATE(3,1,$B$6:B288)</f>
        <v>283</v>
      </c>
      <c r="B288" s="18" t="s">
        <v>405</v>
      </c>
      <c r="C288" s="18" t="s">
        <v>93</v>
      </c>
      <c r="D288" s="21" t="s">
        <v>413</v>
      </c>
      <c r="E288" s="18" t="s">
        <v>411</v>
      </c>
      <c r="F288" s="20">
        <v>45026</v>
      </c>
      <c r="G288" s="18" t="s">
        <v>20</v>
      </c>
      <c r="H288" s="20"/>
      <c r="I288" s="18" t="s">
        <v>17</v>
      </c>
      <c r="J288" s="18" t="s">
        <v>18</v>
      </c>
      <c r="K288" s="21" t="s">
        <v>412</v>
      </c>
    </row>
    <row r="289" spans="1:11" ht="43.15">
      <c r="A289" s="12">
        <f>_xlfn.AGGREGATE(3,1,$B$6:B289)</f>
        <v>284</v>
      </c>
      <c r="B289" s="13" t="s">
        <v>405</v>
      </c>
      <c r="C289" s="13" t="s">
        <v>93</v>
      </c>
      <c r="D289" s="16" t="s">
        <v>414</v>
      </c>
      <c r="E289" s="13" t="s">
        <v>411</v>
      </c>
      <c r="F289" s="15">
        <v>45026</v>
      </c>
      <c r="G289" s="13" t="s">
        <v>20</v>
      </c>
      <c r="H289" s="15"/>
      <c r="I289" s="13" t="s">
        <v>17</v>
      </c>
      <c r="J289" s="13" t="s">
        <v>18</v>
      </c>
      <c r="K289" s="16" t="s">
        <v>412</v>
      </c>
    </row>
    <row r="290" spans="1:11" ht="72">
      <c r="A290" s="17">
        <f>_xlfn.AGGREGATE(3,1,$B$6:B290)</f>
        <v>285</v>
      </c>
      <c r="B290" s="18" t="s">
        <v>405</v>
      </c>
      <c r="C290" s="18" t="s">
        <v>136</v>
      </c>
      <c r="D290" s="21" t="s">
        <v>415</v>
      </c>
      <c r="E290" s="18" t="s">
        <v>411</v>
      </c>
      <c r="F290" s="20">
        <v>45026</v>
      </c>
      <c r="G290" s="18" t="s">
        <v>20</v>
      </c>
      <c r="H290" s="20"/>
      <c r="I290" s="18" t="s">
        <v>17</v>
      </c>
      <c r="J290" s="18" t="s">
        <v>18</v>
      </c>
      <c r="K290" s="21" t="s">
        <v>416</v>
      </c>
    </row>
    <row r="291" spans="1:11" ht="43.15">
      <c r="A291" s="12">
        <f>_xlfn.AGGREGATE(3,1,$B$6:B291)</f>
        <v>286</v>
      </c>
      <c r="B291" s="13" t="s">
        <v>405</v>
      </c>
      <c r="C291" s="13" t="s">
        <v>136</v>
      </c>
      <c r="D291" s="16" t="s">
        <v>417</v>
      </c>
      <c r="E291" s="13" t="s">
        <v>411</v>
      </c>
      <c r="F291" s="15">
        <v>45026</v>
      </c>
      <c r="G291" s="13" t="s">
        <v>20</v>
      </c>
      <c r="H291" s="15"/>
      <c r="I291" s="13" t="s">
        <v>17</v>
      </c>
      <c r="J291" s="13" t="s">
        <v>18</v>
      </c>
      <c r="K291" s="16" t="s">
        <v>412</v>
      </c>
    </row>
    <row r="292" spans="1:11" ht="43.15">
      <c r="A292" s="17">
        <f>_xlfn.AGGREGATE(3,1,$B$6:B292)</f>
        <v>287</v>
      </c>
      <c r="B292" s="18" t="s">
        <v>405</v>
      </c>
      <c r="C292" s="18" t="s">
        <v>207</v>
      </c>
      <c r="D292" s="21" t="s">
        <v>418</v>
      </c>
      <c r="E292" s="18" t="s">
        <v>259</v>
      </c>
      <c r="F292" s="20">
        <v>45026</v>
      </c>
      <c r="G292" s="18" t="s">
        <v>20</v>
      </c>
      <c r="H292" s="20"/>
      <c r="I292" s="18" t="s">
        <v>17</v>
      </c>
      <c r="J292" s="18" t="s">
        <v>18</v>
      </c>
      <c r="K292" s="21" t="s">
        <v>412</v>
      </c>
    </row>
    <row r="293" spans="1:11" ht="28.9">
      <c r="A293" s="12">
        <f>_xlfn.AGGREGATE(3,1,$B$6:B293)</f>
        <v>288</v>
      </c>
      <c r="B293" s="13" t="s">
        <v>405</v>
      </c>
      <c r="C293" s="13" t="s">
        <v>207</v>
      </c>
      <c r="D293" s="16" t="s">
        <v>409</v>
      </c>
      <c r="E293" s="13" t="s">
        <v>259</v>
      </c>
      <c r="F293" s="15">
        <v>45026</v>
      </c>
      <c r="G293" s="13" t="s">
        <v>77</v>
      </c>
      <c r="H293" s="15"/>
      <c r="I293" s="13" t="s">
        <v>17</v>
      </c>
      <c r="J293" s="13" t="s">
        <v>18</v>
      </c>
      <c r="K293" s="16" t="s">
        <v>412</v>
      </c>
    </row>
    <row r="294" spans="1:11" ht="86.45">
      <c r="A294" s="17">
        <f>_xlfn.AGGREGATE(3,1,$B$6:B294)</f>
        <v>289</v>
      </c>
      <c r="B294" s="18" t="s">
        <v>405</v>
      </c>
      <c r="C294" s="18" t="s">
        <v>116</v>
      </c>
      <c r="D294" s="21" t="s">
        <v>419</v>
      </c>
      <c r="E294" s="18" t="s">
        <v>56</v>
      </c>
      <c r="F294" s="20">
        <v>45026</v>
      </c>
      <c r="G294" s="18" t="s">
        <v>20</v>
      </c>
      <c r="H294" s="20"/>
      <c r="I294" s="18" t="s">
        <v>26</v>
      </c>
      <c r="J294" s="18" t="s">
        <v>18</v>
      </c>
      <c r="K294" s="21" t="s">
        <v>420</v>
      </c>
    </row>
    <row r="295" spans="1:11" ht="72">
      <c r="A295" s="12">
        <f>_xlfn.AGGREGATE(3,1,$B$6:B295)</f>
        <v>290</v>
      </c>
      <c r="B295" s="13" t="s">
        <v>405</v>
      </c>
      <c r="C295" s="13" t="s">
        <v>47</v>
      </c>
      <c r="D295" s="16" t="s">
        <v>421</v>
      </c>
      <c r="E295" s="13" t="s">
        <v>411</v>
      </c>
      <c r="F295" s="15">
        <v>45026</v>
      </c>
      <c r="G295" s="13" t="s">
        <v>20</v>
      </c>
      <c r="H295" s="15"/>
      <c r="I295" s="13" t="s">
        <v>26</v>
      </c>
      <c r="J295" s="13" t="s">
        <v>18</v>
      </c>
      <c r="K295" s="16"/>
    </row>
    <row r="296" spans="1:11" ht="28.9">
      <c r="A296" s="17">
        <f>_xlfn.AGGREGATE(3,1,$B$6:B296)</f>
        <v>291</v>
      </c>
      <c r="B296" s="18" t="s">
        <v>405</v>
      </c>
      <c r="C296" s="18" t="s">
        <v>47</v>
      </c>
      <c r="D296" s="21" t="s">
        <v>422</v>
      </c>
      <c r="E296" s="18" t="s">
        <v>411</v>
      </c>
      <c r="F296" s="20">
        <v>45026</v>
      </c>
      <c r="G296" s="18" t="s">
        <v>77</v>
      </c>
      <c r="H296" s="20"/>
      <c r="I296" s="18" t="s">
        <v>26</v>
      </c>
      <c r="J296" s="18" t="s">
        <v>18</v>
      </c>
      <c r="K296" s="21"/>
    </row>
    <row r="297" spans="1:11">
      <c r="A297" s="12">
        <f>_xlfn.AGGREGATE(3,1,$B$6:B297)</f>
        <v>292</v>
      </c>
      <c r="B297" s="13" t="s">
        <v>405</v>
      </c>
      <c r="C297" s="13" t="s">
        <v>47</v>
      </c>
      <c r="D297" s="16" t="s">
        <v>423</v>
      </c>
      <c r="E297" s="13" t="s">
        <v>259</v>
      </c>
      <c r="F297" s="15">
        <v>45026</v>
      </c>
      <c r="G297" s="13" t="s">
        <v>16</v>
      </c>
      <c r="H297" s="15"/>
      <c r="I297" s="13" t="s">
        <v>26</v>
      </c>
      <c r="J297" s="13" t="s">
        <v>18</v>
      </c>
      <c r="K297" s="16"/>
    </row>
    <row r="298" spans="1:11" ht="72">
      <c r="A298" s="17">
        <f>_xlfn.AGGREGATE(3,1,$B$6:B298)</f>
        <v>293</v>
      </c>
      <c r="B298" s="18" t="s">
        <v>424</v>
      </c>
      <c r="C298" s="18" t="s">
        <v>123</v>
      </c>
      <c r="D298" s="21" t="s">
        <v>425</v>
      </c>
      <c r="E298" s="18" t="s">
        <v>42</v>
      </c>
      <c r="F298" s="20">
        <v>45027</v>
      </c>
      <c r="G298" s="18" t="s">
        <v>20</v>
      </c>
      <c r="H298" s="20"/>
      <c r="I298" s="18" t="s">
        <v>17</v>
      </c>
      <c r="J298" s="18" t="s">
        <v>18</v>
      </c>
      <c r="K298" s="21"/>
    </row>
    <row r="299" spans="1:11">
      <c r="A299" s="12">
        <f>_xlfn.AGGREGATE(3,1,$B$6:B299)</f>
        <v>294</v>
      </c>
      <c r="B299" s="13" t="s">
        <v>424</v>
      </c>
      <c r="C299" s="13" t="s">
        <v>123</v>
      </c>
      <c r="D299" s="16" t="s">
        <v>426</v>
      </c>
      <c r="E299" s="13" t="s">
        <v>42</v>
      </c>
      <c r="F299" s="15">
        <v>45027</v>
      </c>
      <c r="G299" s="13" t="s">
        <v>77</v>
      </c>
      <c r="H299" s="15"/>
      <c r="I299" s="13" t="s">
        <v>17</v>
      </c>
      <c r="J299" s="13" t="s">
        <v>18</v>
      </c>
      <c r="K299" s="16" t="s">
        <v>379</v>
      </c>
    </row>
    <row r="300" spans="1:11" ht="86.45">
      <c r="A300" s="17">
        <f>_xlfn.AGGREGATE(3,1,$B$6:B300)</f>
        <v>295</v>
      </c>
      <c r="B300" s="18" t="s">
        <v>424</v>
      </c>
      <c r="C300" s="18" t="s">
        <v>47</v>
      </c>
      <c r="D300" s="21" t="s">
        <v>427</v>
      </c>
      <c r="E300" s="18" t="s">
        <v>355</v>
      </c>
      <c r="F300" s="20">
        <v>45027</v>
      </c>
      <c r="G300" s="18" t="s">
        <v>20</v>
      </c>
      <c r="H300" s="20"/>
      <c r="I300" s="18" t="s">
        <v>26</v>
      </c>
      <c r="J300" s="18" t="s">
        <v>18</v>
      </c>
      <c r="K300" s="21" t="s">
        <v>210</v>
      </c>
    </row>
    <row r="301" spans="1:11" ht="57.6">
      <c r="A301" s="12">
        <f>_xlfn.AGGREGATE(3,1,$B$6:B301)</f>
        <v>296</v>
      </c>
      <c r="B301" s="13" t="s">
        <v>428</v>
      </c>
      <c r="C301" s="13" t="s">
        <v>111</v>
      </c>
      <c r="D301" s="16" t="s">
        <v>429</v>
      </c>
      <c r="E301" s="13" t="s">
        <v>42</v>
      </c>
      <c r="F301" s="15">
        <v>45040</v>
      </c>
      <c r="G301" s="13" t="s">
        <v>20</v>
      </c>
      <c r="H301" s="15"/>
      <c r="I301" s="13" t="s">
        <v>17</v>
      </c>
      <c r="J301" s="13" t="s">
        <v>18</v>
      </c>
      <c r="K301" s="16" t="s">
        <v>430</v>
      </c>
    </row>
    <row r="302" spans="1:11" ht="28.9">
      <c r="A302" s="17">
        <f>_xlfn.AGGREGATE(3,1,$B$6:B302)</f>
        <v>297</v>
      </c>
      <c r="B302" s="18" t="s">
        <v>428</v>
      </c>
      <c r="C302" s="18" t="s">
        <v>111</v>
      </c>
      <c r="D302" s="21" t="s">
        <v>431</v>
      </c>
      <c r="E302" s="18" t="s">
        <v>42</v>
      </c>
      <c r="F302" s="20">
        <v>45040</v>
      </c>
      <c r="G302" s="18" t="s">
        <v>16</v>
      </c>
      <c r="H302" s="20"/>
      <c r="I302" s="18" t="s">
        <v>17</v>
      </c>
      <c r="J302" s="18" t="s">
        <v>18</v>
      </c>
      <c r="K302" s="21" t="s">
        <v>432</v>
      </c>
    </row>
    <row r="303" spans="1:11" ht="43.15">
      <c r="A303" s="12">
        <f>_xlfn.AGGREGATE(3,1,$B$6:B303)</f>
        <v>298</v>
      </c>
      <c r="B303" s="13" t="s">
        <v>428</v>
      </c>
      <c r="C303" s="13" t="s">
        <v>13</v>
      </c>
      <c r="D303" s="16" t="s">
        <v>433</v>
      </c>
      <c r="E303" s="13" t="s">
        <v>38</v>
      </c>
      <c r="F303" s="15">
        <v>45040</v>
      </c>
      <c r="G303" s="13" t="s">
        <v>77</v>
      </c>
      <c r="H303" s="15"/>
      <c r="I303" s="13" t="s">
        <v>17</v>
      </c>
      <c r="J303" s="13" t="s">
        <v>18</v>
      </c>
      <c r="K303" s="16" t="s">
        <v>430</v>
      </c>
    </row>
    <row r="304" spans="1:11" ht="43.15">
      <c r="A304" s="17">
        <f>_xlfn.AGGREGATE(3,1,$B$6:B304)</f>
        <v>299</v>
      </c>
      <c r="B304" s="18" t="s">
        <v>428</v>
      </c>
      <c r="C304" s="18" t="s">
        <v>13</v>
      </c>
      <c r="D304" s="21" t="s">
        <v>434</v>
      </c>
      <c r="E304" s="18" t="s">
        <v>38</v>
      </c>
      <c r="F304" s="20">
        <v>45040</v>
      </c>
      <c r="G304" s="18" t="s">
        <v>20</v>
      </c>
      <c r="H304" s="20"/>
      <c r="I304" s="18" t="s">
        <v>17</v>
      </c>
      <c r="J304" s="18" t="s">
        <v>18</v>
      </c>
      <c r="K304" s="21" t="s">
        <v>430</v>
      </c>
    </row>
    <row r="305" spans="1:11" ht="43.15">
      <c r="A305" s="12">
        <f>_xlfn.AGGREGATE(3,1,$B$6:B305)</f>
        <v>300</v>
      </c>
      <c r="B305" s="13" t="s">
        <v>428</v>
      </c>
      <c r="C305" s="13" t="s">
        <v>13</v>
      </c>
      <c r="D305" s="16" t="s">
        <v>435</v>
      </c>
      <c r="E305" s="13" t="s">
        <v>38</v>
      </c>
      <c r="F305" s="15">
        <v>45040</v>
      </c>
      <c r="G305" s="13" t="s">
        <v>20</v>
      </c>
      <c r="H305" s="15"/>
      <c r="I305" s="13" t="s">
        <v>17</v>
      </c>
      <c r="J305" s="13" t="s">
        <v>18</v>
      </c>
      <c r="K305" s="16" t="s">
        <v>430</v>
      </c>
    </row>
    <row r="306" spans="1:11">
      <c r="A306" s="17">
        <f>_xlfn.AGGREGATE(3,1,$B$6:B306)</f>
        <v>301</v>
      </c>
      <c r="B306" s="18" t="s">
        <v>436</v>
      </c>
      <c r="C306" s="18" t="s">
        <v>437</v>
      </c>
      <c r="D306" s="21" t="s">
        <v>438</v>
      </c>
      <c r="E306" s="18" t="s">
        <v>355</v>
      </c>
      <c r="F306" s="20">
        <v>45042</v>
      </c>
      <c r="G306" s="18" t="s">
        <v>16</v>
      </c>
      <c r="H306" s="20"/>
      <c r="I306" s="18" t="s">
        <v>17</v>
      </c>
      <c r="J306" s="18" t="s">
        <v>18</v>
      </c>
      <c r="K306" s="21" t="s">
        <v>379</v>
      </c>
    </row>
    <row r="307" spans="1:11">
      <c r="A307" s="12">
        <f>_xlfn.AGGREGATE(3,1,$B$6:B307)</f>
        <v>302</v>
      </c>
      <c r="B307" s="13" t="s">
        <v>436</v>
      </c>
      <c r="C307" s="13" t="s">
        <v>361</v>
      </c>
      <c r="D307" s="16" t="s">
        <v>438</v>
      </c>
      <c r="E307" s="13" t="s">
        <v>355</v>
      </c>
      <c r="F307" s="15">
        <v>45042</v>
      </c>
      <c r="G307" s="13" t="s">
        <v>16</v>
      </c>
      <c r="H307" s="15"/>
      <c r="I307" s="13" t="s">
        <v>17</v>
      </c>
      <c r="J307" s="13" t="s">
        <v>18</v>
      </c>
      <c r="K307" s="16" t="s">
        <v>379</v>
      </c>
    </row>
    <row r="308" spans="1:11">
      <c r="A308" s="17">
        <f>_xlfn.AGGREGATE(3,1,$B$6:B308)</f>
        <v>303</v>
      </c>
      <c r="B308" s="18" t="s">
        <v>436</v>
      </c>
      <c r="C308" s="18" t="s">
        <v>136</v>
      </c>
      <c r="D308" s="21" t="s">
        <v>438</v>
      </c>
      <c r="E308" s="18" t="s">
        <v>388</v>
      </c>
      <c r="F308" s="20">
        <v>45042</v>
      </c>
      <c r="G308" s="18" t="s">
        <v>16</v>
      </c>
      <c r="H308" s="20"/>
      <c r="I308" s="18" t="s">
        <v>17</v>
      </c>
      <c r="J308" s="18" t="s">
        <v>18</v>
      </c>
      <c r="K308" s="21" t="s">
        <v>379</v>
      </c>
    </row>
    <row r="309" spans="1:11">
      <c r="A309" s="12">
        <f>_xlfn.AGGREGATE(3,1,$B$6:B309)</f>
        <v>304</v>
      </c>
      <c r="B309" s="13" t="s">
        <v>436</v>
      </c>
      <c r="C309" s="13" t="s">
        <v>439</v>
      </c>
      <c r="D309" s="16" t="s">
        <v>438</v>
      </c>
      <c r="E309" s="13" t="s">
        <v>388</v>
      </c>
      <c r="F309" s="15">
        <v>45042</v>
      </c>
      <c r="G309" s="13" t="s">
        <v>16</v>
      </c>
      <c r="H309" s="15"/>
      <c r="I309" s="13" t="s">
        <v>17</v>
      </c>
      <c r="J309" s="13" t="s">
        <v>18</v>
      </c>
      <c r="K309" s="16" t="s">
        <v>379</v>
      </c>
    </row>
    <row r="310" spans="1:11" ht="43.15">
      <c r="A310" s="17">
        <f>_xlfn.AGGREGATE(3,1,$B$6:B310)</f>
        <v>305</v>
      </c>
      <c r="B310" s="18" t="s">
        <v>436</v>
      </c>
      <c r="C310" s="18" t="s">
        <v>47</v>
      </c>
      <c r="D310" s="21" t="s">
        <v>440</v>
      </c>
      <c r="E310" s="18" t="s">
        <v>388</v>
      </c>
      <c r="F310" s="20">
        <v>45042</v>
      </c>
      <c r="G310" s="18" t="s">
        <v>20</v>
      </c>
      <c r="H310" s="20"/>
      <c r="I310" s="18" t="s">
        <v>17</v>
      </c>
      <c r="J310" s="18" t="s">
        <v>18</v>
      </c>
      <c r="K310" s="21" t="s">
        <v>441</v>
      </c>
    </row>
    <row r="311" spans="1:11" ht="43.15">
      <c r="A311" s="12">
        <f>_xlfn.AGGREGATE(3,1,$B$6:B311)</f>
        <v>306</v>
      </c>
      <c r="B311" s="13" t="s">
        <v>436</v>
      </c>
      <c r="C311" s="13" t="s">
        <v>439</v>
      </c>
      <c r="D311" s="16" t="s">
        <v>442</v>
      </c>
      <c r="E311" s="13" t="s">
        <v>388</v>
      </c>
      <c r="F311" s="15">
        <v>45042</v>
      </c>
      <c r="G311" s="13" t="s">
        <v>20</v>
      </c>
      <c r="H311" s="15"/>
      <c r="I311" s="13" t="s">
        <v>17</v>
      </c>
      <c r="J311" s="13" t="s">
        <v>18</v>
      </c>
      <c r="K311" s="16" t="s">
        <v>443</v>
      </c>
    </row>
    <row r="312" spans="1:11" ht="43.15">
      <c r="A312" s="17">
        <f>_xlfn.AGGREGATE(3,1,$B$6:B312)</f>
        <v>307</v>
      </c>
      <c r="B312" s="18" t="s">
        <v>436</v>
      </c>
      <c r="C312" s="18" t="s">
        <v>47</v>
      </c>
      <c r="D312" s="21" t="s">
        <v>444</v>
      </c>
      <c r="E312" s="18" t="s">
        <v>355</v>
      </c>
      <c r="F312" s="20">
        <v>45042</v>
      </c>
      <c r="G312" s="18" t="s">
        <v>16</v>
      </c>
      <c r="H312" s="20"/>
      <c r="I312" s="18" t="s">
        <v>26</v>
      </c>
      <c r="J312" s="18" t="s">
        <v>18</v>
      </c>
      <c r="K312" s="21" t="s">
        <v>210</v>
      </c>
    </row>
    <row r="313" spans="1:11" ht="57.6">
      <c r="A313" s="12">
        <f>_xlfn.AGGREGATE(3,1,$B$6:B313)</f>
        <v>308</v>
      </c>
      <c r="B313" s="13" t="s">
        <v>436</v>
      </c>
      <c r="C313" s="13" t="s">
        <v>47</v>
      </c>
      <c r="D313" s="16" t="s">
        <v>445</v>
      </c>
      <c r="E313" s="13" t="s">
        <v>388</v>
      </c>
      <c r="F313" s="15">
        <v>45042</v>
      </c>
      <c r="G313" s="13" t="s">
        <v>20</v>
      </c>
      <c r="H313" s="15"/>
      <c r="I313" s="13" t="s">
        <v>26</v>
      </c>
      <c r="J313" s="13" t="s">
        <v>18</v>
      </c>
      <c r="K313" s="16" t="s">
        <v>257</v>
      </c>
    </row>
    <row r="314" spans="1:11" ht="28.9">
      <c r="A314" s="17">
        <f>_xlfn.AGGREGATE(3,1,$B$6:B314)</f>
        <v>309</v>
      </c>
      <c r="B314" s="18" t="s">
        <v>446</v>
      </c>
      <c r="C314" s="18" t="s">
        <v>353</v>
      </c>
      <c r="D314" s="21" t="s">
        <v>447</v>
      </c>
      <c r="E314" s="18" t="s">
        <v>355</v>
      </c>
      <c r="F314" s="20">
        <v>45049</v>
      </c>
      <c r="G314" s="18" t="s">
        <v>16</v>
      </c>
      <c r="H314" s="20"/>
      <c r="I314" s="18" t="s">
        <v>17</v>
      </c>
      <c r="J314" s="18" t="s">
        <v>18</v>
      </c>
      <c r="K314" s="21" t="s">
        <v>448</v>
      </c>
    </row>
    <row r="315" spans="1:11">
      <c r="A315" s="12">
        <f>_xlfn.AGGREGATE(3,1,$B$6:B315)</f>
        <v>310</v>
      </c>
      <c r="B315" s="13" t="s">
        <v>446</v>
      </c>
      <c r="C315" s="13" t="s">
        <v>63</v>
      </c>
      <c r="D315" s="16" t="s">
        <v>449</v>
      </c>
      <c r="E315" s="13" t="s">
        <v>69</v>
      </c>
      <c r="F315" s="15">
        <v>45049</v>
      </c>
      <c r="G315" s="13" t="s">
        <v>16</v>
      </c>
      <c r="H315" s="15"/>
      <c r="I315" s="13" t="s">
        <v>17</v>
      </c>
      <c r="J315" s="13" t="s">
        <v>18</v>
      </c>
      <c r="K315" s="16" t="s">
        <v>379</v>
      </c>
    </row>
    <row r="316" spans="1:11" ht="28.9">
      <c r="A316" s="17">
        <f>_xlfn.AGGREGATE(3,1,$B$6:B316)</f>
        <v>311</v>
      </c>
      <c r="B316" s="18" t="s">
        <v>446</v>
      </c>
      <c r="C316" s="18" t="s">
        <v>63</v>
      </c>
      <c r="D316" s="21" t="s">
        <v>450</v>
      </c>
      <c r="E316" s="18" t="s">
        <v>69</v>
      </c>
      <c r="F316" s="20">
        <v>45049</v>
      </c>
      <c r="G316" s="18" t="s">
        <v>16</v>
      </c>
      <c r="H316" s="20"/>
      <c r="I316" s="18" t="s">
        <v>17</v>
      </c>
      <c r="J316" s="18" t="s">
        <v>18</v>
      </c>
      <c r="K316" s="21" t="s">
        <v>451</v>
      </c>
    </row>
    <row r="317" spans="1:11" ht="43.15">
      <c r="A317" s="12">
        <f>_xlfn.AGGREGATE(3,1,$B$6:B317)</f>
        <v>312</v>
      </c>
      <c r="B317" s="13" t="s">
        <v>452</v>
      </c>
      <c r="C317" s="13" t="s">
        <v>123</v>
      </c>
      <c r="D317" s="16" t="s">
        <v>453</v>
      </c>
      <c r="E317" s="13" t="s">
        <v>15</v>
      </c>
      <c r="F317" s="15">
        <v>45054</v>
      </c>
      <c r="G317" s="13" t="s">
        <v>20</v>
      </c>
      <c r="H317" s="15"/>
      <c r="I317" s="13" t="s">
        <v>17</v>
      </c>
      <c r="J317" s="13" t="s">
        <v>18</v>
      </c>
      <c r="K317" s="16" t="s">
        <v>454</v>
      </c>
    </row>
    <row r="318" spans="1:11" ht="43.15">
      <c r="A318" s="17">
        <f>_xlfn.AGGREGATE(3,1,$B$6:B318)</f>
        <v>313</v>
      </c>
      <c r="B318" s="18" t="s">
        <v>452</v>
      </c>
      <c r="C318" s="18" t="s">
        <v>201</v>
      </c>
      <c r="D318" s="21" t="s">
        <v>455</v>
      </c>
      <c r="E318" s="18" t="s">
        <v>15</v>
      </c>
      <c r="F318" s="20">
        <v>45054</v>
      </c>
      <c r="G318" s="18" t="s">
        <v>16</v>
      </c>
      <c r="H318" s="20"/>
      <c r="I318" s="18" t="s">
        <v>17</v>
      </c>
      <c r="J318" s="18" t="s">
        <v>18</v>
      </c>
      <c r="K318" s="21" t="s">
        <v>456</v>
      </c>
    </row>
    <row r="319" spans="1:11">
      <c r="A319" s="12">
        <f>_xlfn.AGGREGATE(3,1,$B$6:B319)</f>
        <v>314</v>
      </c>
      <c r="B319" s="13" t="s">
        <v>452</v>
      </c>
      <c r="C319" s="13" t="s">
        <v>296</v>
      </c>
      <c r="D319" s="16" t="s">
        <v>457</v>
      </c>
      <c r="E319" s="13" t="s">
        <v>15</v>
      </c>
      <c r="F319" s="15">
        <v>45054</v>
      </c>
      <c r="G319" s="13" t="s">
        <v>16</v>
      </c>
      <c r="H319" s="15"/>
      <c r="I319" s="13" t="s">
        <v>17</v>
      </c>
      <c r="J319" s="13" t="s">
        <v>18</v>
      </c>
      <c r="K319" s="16" t="s">
        <v>458</v>
      </c>
    </row>
    <row r="320" spans="1:11" ht="28.9">
      <c r="A320" s="17">
        <f>_xlfn.AGGREGATE(3,1,$B$6:B320)</f>
        <v>315</v>
      </c>
      <c r="B320" s="18" t="s">
        <v>452</v>
      </c>
      <c r="C320" s="18" t="s">
        <v>296</v>
      </c>
      <c r="D320" s="21" t="s">
        <v>459</v>
      </c>
      <c r="E320" s="18" t="s">
        <v>15</v>
      </c>
      <c r="F320" s="20">
        <v>45054</v>
      </c>
      <c r="G320" s="18" t="s">
        <v>16</v>
      </c>
      <c r="H320" s="20"/>
      <c r="I320" s="18" t="s">
        <v>17</v>
      </c>
      <c r="J320" s="18" t="s">
        <v>18</v>
      </c>
      <c r="K320" s="21" t="s">
        <v>460</v>
      </c>
    </row>
    <row r="321" spans="1:11" ht="28.9">
      <c r="A321" s="12">
        <f>_xlfn.AGGREGATE(3,1,$B$6:B321)</f>
        <v>316</v>
      </c>
      <c r="B321" s="13" t="s">
        <v>452</v>
      </c>
      <c r="C321" s="13" t="s">
        <v>123</v>
      </c>
      <c r="D321" s="16" t="s">
        <v>461</v>
      </c>
      <c r="E321" s="13" t="s">
        <v>15</v>
      </c>
      <c r="F321" s="15">
        <v>45054</v>
      </c>
      <c r="G321" s="13" t="s">
        <v>77</v>
      </c>
      <c r="H321" s="15"/>
      <c r="I321" s="13" t="s">
        <v>17</v>
      </c>
      <c r="J321" s="13" t="s">
        <v>18</v>
      </c>
      <c r="K321" s="16" t="s">
        <v>379</v>
      </c>
    </row>
    <row r="322" spans="1:11" ht="43.15">
      <c r="A322" s="17">
        <f>_xlfn.AGGREGATE(3,1,$B$6:B322)</f>
        <v>317</v>
      </c>
      <c r="B322" s="18" t="s">
        <v>462</v>
      </c>
      <c r="C322" s="18" t="s">
        <v>47</v>
      </c>
      <c r="D322" s="21" t="s">
        <v>463</v>
      </c>
      <c r="E322" s="18" t="s">
        <v>30</v>
      </c>
      <c r="F322" s="20">
        <v>45057</v>
      </c>
      <c r="G322" s="18" t="s">
        <v>20</v>
      </c>
      <c r="H322" s="20"/>
      <c r="I322" s="18" t="s">
        <v>17</v>
      </c>
      <c r="J322" s="18" t="s">
        <v>18</v>
      </c>
      <c r="K322" s="21" t="s">
        <v>464</v>
      </c>
    </row>
    <row r="323" spans="1:11" ht="28.9">
      <c r="A323" s="12">
        <f>_xlfn.AGGREGATE(3,1,$B$6:B323)</f>
        <v>318</v>
      </c>
      <c r="B323" s="13" t="s">
        <v>462</v>
      </c>
      <c r="C323" s="13" t="s">
        <v>465</v>
      </c>
      <c r="D323" s="16" t="s">
        <v>134</v>
      </c>
      <c r="E323" s="13" t="s">
        <v>30</v>
      </c>
      <c r="F323" s="15">
        <v>45057</v>
      </c>
      <c r="G323" s="13" t="s">
        <v>16</v>
      </c>
      <c r="H323" s="15"/>
      <c r="I323" s="13" t="s">
        <v>26</v>
      </c>
      <c r="J323" s="13" t="s">
        <v>18</v>
      </c>
      <c r="K323" s="16" t="s">
        <v>404</v>
      </c>
    </row>
    <row r="324" spans="1:11" ht="28.9">
      <c r="A324" s="17">
        <f>_xlfn.AGGREGATE(3,1,$B$6:B324)</f>
        <v>319</v>
      </c>
      <c r="B324" s="18" t="s">
        <v>462</v>
      </c>
      <c r="C324" s="18" t="s">
        <v>47</v>
      </c>
      <c r="D324" s="21" t="s">
        <v>466</v>
      </c>
      <c r="E324" s="18" t="s">
        <v>393</v>
      </c>
      <c r="F324" s="20">
        <v>45057</v>
      </c>
      <c r="G324" s="18" t="s">
        <v>20</v>
      </c>
      <c r="H324" s="20"/>
      <c r="I324" s="18" t="s">
        <v>26</v>
      </c>
      <c r="J324" s="18" t="s">
        <v>18</v>
      </c>
      <c r="K324" s="21" t="s">
        <v>467</v>
      </c>
    </row>
    <row r="325" spans="1:11" ht="28.9">
      <c r="A325" s="12">
        <f>_xlfn.AGGREGATE(3,1,$B$6:B325)</f>
        <v>320</v>
      </c>
      <c r="B325" s="13" t="s">
        <v>468</v>
      </c>
      <c r="C325" s="13" t="s">
        <v>100</v>
      </c>
      <c r="D325" s="16" t="s">
        <v>469</v>
      </c>
      <c r="E325" s="13" t="s">
        <v>38</v>
      </c>
      <c r="F325" s="15">
        <v>45057</v>
      </c>
      <c r="G325" s="13" t="s">
        <v>77</v>
      </c>
      <c r="H325" s="15"/>
      <c r="I325" s="13" t="s">
        <v>17</v>
      </c>
      <c r="J325" s="13" t="s">
        <v>18</v>
      </c>
      <c r="K325" s="16" t="s">
        <v>470</v>
      </c>
    </row>
    <row r="326" spans="1:11" ht="28.9">
      <c r="A326" s="17">
        <f>_xlfn.AGGREGATE(3,1,$B$6:B326)</f>
        <v>321</v>
      </c>
      <c r="B326" s="18" t="s">
        <v>468</v>
      </c>
      <c r="C326" s="18" t="s">
        <v>439</v>
      </c>
      <c r="D326" s="21" t="s">
        <v>471</v>
      </c>
      <c r="E326" s="18" t="s">
        <v>38</v>
      </c>
      <c r="F326" s="20">
        <v>45057</v>
      </c>
      <c r="G326" s="18" t="s">
        <v>77</v>
      </c>
      <c r="H326" s="20"/>
      <c r="I326" s="18" t="s">
        <v>17</v>
      </c>
      <c r="J326" s="18" t="s">
        <v>18</v>
      </c>
      <c r="K326" s="21" t="s">
        <v>470</v>
      </c>
    </row>
    <row r="327" spans="1:11" ht="57.6">
      <c r="A327" s="12">
        <f>_xlfn.AGGREGATE(3,1,$B$6:B327)</f>
        <v>322</v>
      </c>
      <c r="B327" s="13" t="s">
        <v>468</v>
      </c>
      <c r="C327" s="13" t="s">
        <v>70</v>
      </c>
      <c r="D327" s="16" t="s">
        <v>472</v>
      </c>
      <c r="E327" s="13" t="s">
        <v>42</v>
      </c>
      <c r="F327" s="15">
        <v>45057</v>
      </c>
      <c r="G327" s="13" t="s">
        <v>20</v>
      </c>
      <c r="H327" s="15"/>
      <c r="I327" s="13" t="s">
        <v>17</v>
      </c>
      <c r="J327" s="13" t="s">
        <v>18</v>
      </c>
      <c r="K327" s="16" t="s">
        <v>470</v>
      </c>
    </row>
    <row r="328" spans="1:11" ht="43.15">
      <c r="A328" s="17">
        <f>_xlfn.AGGREGATE(3,1,$B$6:B328)</f>
        <v>323</v>
      </c>
      <c r="B328" s="18" t="s">
        <v>468</v>
      </c>
      <c r="C328" s="18" t="s">
        <v>70</v>
      </c>
      <c r="D328" s="21" t="s">
        <v>473</v>
      </c>
      <c r="E328" s="18" t="s">
        <v>42</v>
      </c>
      <c r="F328" s="20">
        <v>45057</v>
      </c>
      <c r="G328" s="18" t="s">
        <v>20</v>
      </c>
      <c r="H328" s="20"/>
      <c r="I328" s="18" t="s">
        <v>17</v>
      </c>
      <c r="J328" s="18" t="s">
        <v>18</v>
      </c>
      <c r="K328" s="21" t="s">
        <v>470</v>
      </c>
    </row>
    <row r="329" spans="1:11">
      <c r="A329" s="12">
        <f>_xlfn.AGGREGATE(3,1,$B$6:B329)</f>
        <v>324</v>
      </c>
      <c r="B329" s="13" t="s">
        <v>468</v>
      </c>
      <c r="C329" s="13" t="s">
        <v>70</v>
      </c>
      <c r="D329" s="16" t="s">
        <v>474</v>
      </c>
      <c r="E329" s="13" t="s">
        <v>42</v>
      </c>
      <c r="F329" s="15">
        <v>45057</v>
      </c>
      <c r="G329" s="13" t="s">
        <v>16</v>
      </c>
      <c r="H329" s="15"/>
      <c r="I329" s="13" t="s">
        <v>17</v>
      </c>
      <c r="J329" s="13" t="s">
        <v>18</v>
      </c>
      <c r="K329" s="16" t="s">
        <v>379</v>
      </c>
    </row>
    <row r="330" spans="1:11" ht="43.15">
      <c r="A330" s="17">
        <f>_xlfn.AGGREGATE(3,1,$B$6:B330)</f>
        <v>325</v>
      </c>
      <c r="B330" s="18" t="s">
        <v>475</v>
      </c>
      <c r="C330" s="18" t="s">
        <v>47</v>
      </c>
      <c r="D330" s="21" t="s">
        <v>463</v>
      </c>
      <c r="E330" s="18" t="s">
        <v>30</v>
      </c>
      <c r="F330" s="20">
        <v>45057</v>
      </c>
      <c r="G330" s="18" t="s">
        <v>20</v>
      </c>
      <c r="H330" s="20"/>
      <c r="I330" s="18" t="s">
        <v>17</v>
      </c>
      <c r="J330" s="18" t="s">
        <v>18</v>
      </c>
      <c r="K330" s="21"/>
    </row>
    <row r="331" spans="1:11" ht="28.9">
      <c r="A331" s="12">
        <f>_xlfn.AGGREGATE(3,1,$B$6:B331)</f>
        <v>326</v>
      </c>
      <c r="B331" s="13" t="s">
        <v>475</v>
      </c>
      <c r="C331" s="13" t="s">
        <v>465</v>
      </c>
      <c r="D331" s="16" t="s">
        <v>134</v>
      </c>
      <c r="E331" s="13" t="s">
        <v>30</v>
      </c>
      <c r="F331" s="15">
        <v>45057</v>
      </c>
      <c r="G331" s="13" t="s">
        <v>16</v>
      </c>
      <c r="H331" s="15"/>
      <c r="I331" s="13" t="s">
        <v>26</v>
      </c>
      <c r="J331" s="13" t="s">
        <v>18</v>
      </c>
      <c r="K331" s="16" t="s">
        <v>404</v>
      </c>
    </row>
    <row r="332" spans="1:11" ht="28.9">
      <c r="A332" s="17">
        <f>_xlfn.AGGREGATE(3,1,$B$6:B332)</f>
        <v>327</v>
      </c>
      <c r="B332" s="18" t="s">
        <v>475</v>
      </c>
      <c r="C332" s="18" t="s">
        <v>47</v>
      </c>
      <c r="D332" s="21" t="s">
        <v>466</v>
      </c>
      <c r="E332" s="18" t="s">
        <v>393</v>
      </c>
      <c r="F332" s="20">
        <v>45057</v>
      </c>
      <c r="G332" s="18" t="s">
        <v>20</v>
      </c>
      <c r="H332" s="20"/>
      <c r="I332" s="18" t="s">
        <v>26</v>
      </c>
      <c r="J332" s="18" t="s">
        <v>18</v>
      </c>
      <c r="K332" s="21"/>
    </row>
    <row r="333" spans="1:11" ht="57.6">
      <c r="A333" s="12">
        <f>_xlfn.AGGREGATE(3,1,$B$6:B333)</f>
        <v>328</v>
      </c>
      <c r="B333" s="13" t="s">
        <v>476</v>
      </c>
      <c r="C333" s="13" t="s">
        <v>207</v>
      </c>
      <c r="D333" s="16" t="s">
        <v>477</v>
      </c>
      <c r="E333" s="13" t="s">
        <v>56</v>
      </c>
      <c r="F333" s="15">
        <v>45061</v>
      </c>
      <c r="G333" s="13" t="s">
        <v>20</v>
      </c>
      <c r="H333" s="15"/>
      <c r="I333" s="13" t="s">
        <v>17</v>
      </c>
      <c r="J333" s="13" t="s">
        <v>18</v>
      </c>
      <c r="K333" s="16" t="s">
        <v>478</v>
      </c>
    </row>
    <row r="334" spans="1:11">
      <c r="A334" s="17">
        <f>_xlfn.AGGREGATE(3,1,$B$6:B334)</f>
        <v>329</v>
      </c>
      <c r="B334" s="18" t="s">
        <v>476</v>
      </c>
      <c r="C334" s="18" t="s">
        <v>207</v>
      </c>
      <c r="D334" s="21" t="s">
        <v>479</v>
      </c>
      <c r="E334" s="18" t="s">
        <v>56</v>
      </c>
      <c r="F334" s="20">
        <v>45061</v>
      </c>
      <c r="G334" s="18" t="s">
        <v>77</v>
      </c>
      <c r="H334" s="20"/>
      <c r="I334" s="18" t="s">
        <v>17</v>
      </c>
      <c r="J334" s="18" t="s">
        <v>18</v>
      </c>
      <c r="K334" s="21" t="s">
        <v>379</v>
      </c>
    </row>
    <row r="335" spans="1:11" ht="57.6">
      <c r="A335" s="12">
        <f>_xlfn.AGGREGATE(3,1,$B$6:B335)</f>
        <v>330</v>
      </c>
      <c r="B335" s="13" t="s">
        <v>476</v>
      </c>
      <c r="C335" s="13" t="s">
        <v>111</v>
      </c>
      <c r="D335" s="16" t="s">
        <v>480</v>
      </c>
      <c r="E335" s="13" t="s">
        <v>411</v>
      </c>
      <c r="F335" s="15">
        <v>45061</v>
      </c>
      <c r="G335" s="13" t="s">
        <v>20</v>
      </c>
      <c r="H335" s="15"/>
      <c r="I335" s="13" t="s">
        <v>17</v>
      </c>
      <c r="J335" s="13" t="s">
        <v>18</v>
      </c>
      <c r="K335" s="16"/>
    </row>
    <row r="336" spans="1:11" ht="43.15">
      <c r="A336" s="17">
        <f>_xlfn.AGGREGATE(3,1,$B$6:B336)</f>
        <v>331</v>
      </c>
      <c r="B336" s="18" t="s">
        <v>476</v>
      </c>
      <c r="C336" s="18" t="s">
        <v>111</v>
      </c>
      <c r="D336" s="21" t="s">
        <v>481</v>
      </c>
      <c r="E336" s="18" t="s">
        <v>411</v>
      </c>
      <c r="F336" s="20">
        <v>45061</v>
      </c>
      <c r="G336" s="18" t="s">
        <v>20</v>
      </c>
      <c r="H336" s="20"/>
      <c r="I336" s="18" t="s">
        <v>17</v>
      </c>
      <c r="J336" s="18" t="s">
        <v>18</v>
      </c>
      <c r="K336" s="21"/>
    </row>
    <row r="337" spans="1:11" ht="57.6">
      <c r="A337" s="12">
        <f>_xlfn.AGGREGATE(3,1,$B$6:B337)</f>
        <v>332</v>
      </c>
      <c r="B337" s="13" t="s">
        <v>476</v>
      </c>
      <c r="C337" s="13" t="s">
        <v>111</v>
      </c>
      <c r="D337" s="16" t="s">
        <v>482</v>
      </c>
      <c r="E337" s="13" t="s">
        <v>411</v>
      </c>
      <c r="F337" s="15">
        <v>45061</v>
      </c>
      <c r="G337" s="13" t="s">
        <v>20</v>
      </c>
      <c r="H337" s="15"/>
      <c r="I337" s="13" t="s">
        <v>17</v>
      </c>
      <c r="J337" s="13" t="s">
        <v>18</v>
      </c>
      <c r="K337" s="16" t="s">
        <v>483</v>
      </c>
    </row>
    <row r="338" spans="1:11" ht="57.6">
      <c r="A338" s="17">
        <f>_xlfn.AGGREGATE(3,1,$B$6:B338)</f>
        <v>333</v>
      </c>
      <c r="B338" s="18" t="s">
        <v>476</v>
      </c>
      <c r="C338" s="18" t="s">
        <v>346</v>
      </c>
      <c r="D338" s="21" t="s">
        <v>484</v>
      </c>
      <c r="E338" s="18" t="s">
        <v>411</v>
      </c>
      <c r="F338" s="20">
        <v>45061</v>
      </c>
      <c r="G338" s="18" t="s">
        <v>20</v>
      </c>
      <c r="H338" s="20"/>
      <c r="I338" s="18" t="s">
        <v>17</v>
      </c>
      <c r="J338" s="18" t="s">
        <v>18</v>
      </c>
      <c r="K338" s="21" t="s">
        <v>485</v>
      </c>
    </row>
    <row r="339" spans="1:11" ht="43.15">
      <c r="A339" s="12">
        <f>_xlfn.AGGREGATE(3,1,$B$6:B339)</f>
        <v>334</v>
      </c>
      <c r="B339" s="13" t="s">
        <v>476</v>
      </c>
      <c r="C339" s="13" t="s">
        <v>164</v>
      </c>
      <c r="D339" s="16" t="s">
        <v>486</v>
      </c>
      <c r="E339" s="13" t="s">
        <v>259</v>
      </c>
      <c r="F339" s="15">
        <v>45061</v>
      </c>
      <c r="G339" s="13" t="s">
        <v>20</v>
      </c>
      <c r="H339" s="15"/>
      <c r="I339" s="13" t="s">
        <v>17</v>
      </c>
      <c r="J339" s="13" t="s">
        <v>18</v>
      </c>
      <c r="K339" s="16" t="s">
        <v>485</v>
      </c>
    </row>
    <row r="340" spans="1:11" ht="28.9">
      <c r="A340" s="17">
        <f>_xlfn.AGGREGATE(3,1,$B$6:B340)</f>
        <v>335</v>
      </c>
      <c r="B340" s="18" t="s">
        <v>476</v>
      </c>
      <c r="C340" s="18" t="s">
        <v>47</v>
      </c>
      <c r="D340" s="21" t="s">
        <v>487</v>
      </c>
      <c r="E340" s="18" t="s">
        <v>56</v>
      </c>
      <c r="F340" s="20">
        <v>45061</v>
      </c>
      <c r="G340" s="18" t="s">
        <v>20</v>
      </c>
      <c r="H340" s="20"/>
      <c r="I340" s="18" t="s">
        <v>26</v>
      </c>
      <c r="J340" s="18" t="s">
        <v>18</v>
      </c>
      <c r="K340" s="21" t="s">
        <v>488</v>
      </c>
    </row>
    <row r="341" spans="1:11" ht="72">
      <c r="A341" s="12">
        <f>_xlfn.AGGREGATE(3,1,$B$6:B341)</f>
        <v>336</v>
      </c>
      <c r="B341" s="13" t="s">
        <v>476</v>
      </c>
      <c r="C341" s="13" t="s">
        <v>47</v>
      </c>
      <c r="D341" s="16" t="s">
        <v>489</v>
      </c>
      <c r="E341" s="13" t="s">
        <v>56</v>
      </c>
      <c r="F341" s="15">
        <v>45061</v>
      </c>
      <c r="G341" s="13" t="s">
        <v>20</v>
      </c>
      <c r="H341" s="15"/>
      <c r="I341" s="13" t="s">
        <v>26</v>
      </c>
      <c r="J341" s="13" t="s">
        <v>18</v>
      </c>
      <c r="K341" s="16" t="s">
        <v>488</v>
      </c>
    </row>
    <row r="342" spans="1:11">
      <c r="A342" s="17">
        <f>_xlfn.AGGREGATE(3,1,$B$6:B342)</f>
        <v>337</v>
      </c>
      <c r="B342" s="18" t="s">
        <v>476</v>
      </c>
      <c r="C342" s="18" t="s">
        <v>47</v>
      </c>
      <c r="D342" s="21" t="s">
        <v>423</v>
      </c>
      <c r="E342" s="18" t="s">
        <v>259</v>
      </c>
      <c r="F342" s="20">
        <v>45026</v>
      </c>
      <c r="G342" s="18" t="s">
        <v>77</v>
      </c>
      <c r="H342" s="20"/>
      <c r="I342" s="18" t="s">
        <v>26</v>
      </c>
      <c r="J342" s="18" t="s">
        <v>18</v>
      </c>
      <c r="K342" s="21"/>
    </row>
    <row r="343" spans="1:11" ht="57.6">
      <c r="A343" s="12">
        <f>_xlfn.AGGREGATE(3,1,$B$6:B343)</f>
        <v>338</v>
      </c>
      <c r="B343" s="13" t="s">
        <v>490</v>
      </c>
      <c r="C343" s="13" t="s">
        <v>439</v>
      </c>
      <c r="D343" s="16" t="s">
        <v>491</v>
      </c>
      <c r="E343" s="13" t="s">
        <v>38</v>
      </c>
      <c r="F343" s="15">
        <v>45068</v>
      </c>
      <c r="G343" s="13" t="s">
        <v>20</v>
      </c>
      <c r="H343" s="15"/>
      <c r="I343" s="13" t="s">
        <v>17</v>
      </c>
      <c r="J343" s="13" t="s">
        <v>18</v>
      </c>
      <c r="K343" s="16"/>
    </row>
    <row r="344" spans="1:11" ht="28.9">
      <c r="A344" s="17">
        <f>_xlfn.AGGREGATE(3,1,$B$6:B344)</f>
        <v>339</v>
      </c>
      <c r="B344" s="18" t="s">
        <v>490</v>
      </c>
      <c r="C344" s="18" t="s">
        <v>439</v>
      </c>
      <c r="D344" s="21" t="s">
        <v>492</v>
      </c>
      <c r="E344" s="18" t="s">
        <v>38</v>
      </c>
      <c r="F344" s="20">
        <v>45068</v>
      </c>
      <c r="G344" s="18" t="s">
        <v>16</v>
      </c>
      <c r="H344" s="20"/>
      <c r="I344" s="18" t="s">
        <v>17</v>
      </c>
      <c r="J344" s="18" t="s">
        <v>18</v>
      </c>
      <c r="K344" s="21" t="s">
        <v>239</v>
      </c>
    </row>
    <row r="345" spans="1:11" ht="43.15">
      <c r="A345" s="12">
        <f>_xlfn.AGGREGATE(3,1,$B$6:B345)</f>
        <v>340</v>
      </c>
      <c r="B345" s="13" t="s">
        <v>490</v>
      </c>
      <c r="C345" s="13" t="s">
        <v>136</v>
      </c>
      <c r="D345" s="16" t="s">
        <v>493</v>
      </c>
      <c r="E345" s="13" t="s">
        <v>42</v>
      </c>
      <c r="F345" s="15">
        <v>45068</v>
      </c>
      <c r="G345" s="13" t="s">
        <v>16</v>
      </c>
      <c r="H345" s="15"/>
      <c r="I345" s="13" t="s">
        <v>17</v>
      </c>
      <c r="J345" s="13" t="s">
        <v>18</v>
      </c>
      <c r="K345" s="16" t="s">
        <v>494</v>
      </c>
    </row>
    <row r="346" spans="1:11" ht="28.9">
      <c r="A346" s="17">
        <f>_xlfn.AGGREGATE(3,1,$B$6:B346)</f>
        <v>341</v>
      </c>
      <c r="B346" s="18" t="s">
        <v>490</v>
      </c>
      <c r="C346" s="18" t="s">
        <v>136</v>
      </c>
      <c r="D346" s="21" t="s">
        <v>495</v>
      </c>
      <c r="E346" s="18" t="s">
        <v>42</v>
      </c>
      <c r="F346" s="20">
        <v>45068</v>
      </c>
      <c r="G346" s="18" t="s">
        <v>16</v>
      </c>
      <c r="H346" s="20"/>
      <c r="I346" s="18" t="s">
        <v>17</v>
      </c>
      <c r="J346" s="18" t="s">
        <v>18</v>
      </c>
      <c r="K346" s="21"/>
    </row>
    <row r="347" spans="1:11" ht="57.6">
      <c r="A347" s="12">
        <f>_xlfn.AGGREGATE(3,1,$B$6:B347)</f>
        <v>342</v>
      </c>
      <c r="B347" s="13" t="s">
        <v>490</v>
      </c>
      <c r="C347" s="13" t="s">
        <v>439</v>
      </c>
      <c r="D347" s="16" t="s">
        <v>496</v>
      </c>
      <c r="E347" s="13" t="s">
        <v>38</v>
      </c>
      <c r="F347" s="15">
        <v>45068</v>
      </c>
      <c r="G347" s="13" t="s">
        <v>20</v>
      </c>
      <c r="H347" s="15"/>
      <c r="I347" s="13" t="s">
        <v>26</v>
      </c>
      <c r="J347" s="13" t="s">
        <v>18</v>
      </c>
      <c r="K347" s="16" t="s">
        <v>497</v>
      </c>
    </row>
    <row r="348" spans="1:11" ht="43.15">
      <c r="A348" s="17">
        <f>_xlfn.AGGREGATE(3,1,$B$6:B348)</f>
        <v>343</v>
      </c>
      <c r="B348" s="18" t="s">
        <v>498</v>
      </c>
      <c r="C348" s="18" t="s">
        <v>153</v>
      </c>
      <c r="D348" s="21" t="s">
        <v>499</v>
      </c>
      <c r="E348" s="18" t="s">
        <v>183</v>
      </c>
      <c r="F348" s="20">
        <v>45071</v>
      </c>
      <c r="G348" s="18" t="s">
        <v>20</v>
      </c>
      <c r="H348" s="20"/>
      <c r="I348" s="18" t="s">
        <v>17</v>
      </c>
      <c r="J348" s="18" t="s">
        <v>18</v>
      </c>
      <c r="K348" s="21" t="s">
        <v>239</v>
      </c>
    </row>
    <row r="349" spans="1:11">
      <c r="A349" s="12">
        <f>_xlfn.AGGREGATE(3,1,$B$6:B349)</f>
        <v>344</v>
      </c>
      <c r="B349" s="13" t="s">
        <v>498</v>
      </c>
      <c r="C349" s="13" t="s">
        <v>500</v>
      </c>
      <c r="D349" s="16" t="s">
        <v>501</v>
      </c>
      <c r="E349" s="13" t="s">
        <v>183</v>
      </c>
      <c r="F349" s="15">
        <v>45071</v>
      </c>
      <c r="G349" s="13" t="s">
        <v>16</v>
      </c>
      <c r="H349" s="15"/>
      <c r="I349" s="13" t="s">
        <v>17</v>
      </c>
      <c r="J349" s="13" t="s">
        <v>18</v>
      </c>
      <c r="K349" s="16" t="s">
        <v>494</v>
      </c>
    </row>
    <row r="350" spans="1:11" ht="57.6">
      <c r="A350" s="17">
        <f>_xlfn.AGGREGATE(3,1,$B$6:B350)</f>
        <v>345</v>
      </c>
      <c r="B350" s="18" t="s">
        <v>498</v>
      </c>
      <c r="C350" s="18" t="s">
        <v>502</v>
      </c>
      <c r="D350" s="21" t="s">
        <v>503</v>
      </c>
      <c r="E350" s="18" t="s">
        <v>183</v>
      </c>
      <c r="F350" s="20">
        <v>45071</v>
      </c>
      <c r="G350" s="18" t="s">
        <v>20</v>
      </c>
      <c r="H350" s="20"/>
      <c r="I350" s="18" t="s">
        <v>17</v>
      </c>
      <c r="J350" s="18" t="s">
        <v>18</v>
      </c>
      <c r="K350" s="21" t="s">
        <v>494</v>
      </c>
    </row>
    <row r="351" spans="1:11" ht="28.9">
      <c r="A351" s="12">
        <f>_xlfn.AGGREGATE(3,1,$B$6:B351)</f>
        <v>346</v>
      </c>
      <c r="B351" s="13" t="s">
        <v>504</v>
      </c>
      <c r="C351" s="13" t="s">
        <v>176</v>
      </c>
      <c r="D351" s="16" t="s">
        <v>505</v>
      </c>
      <c r="E351" s="13" t="s">
        <v>15</v>
      </c>
      <c r="F351" s="15">
        <v>45075</v>
      </c>
      <c r="G351" s="13" t="s">
        <v>20</v>
      </c>
      <c r="H351" s="15"/>
      <c r="I351" s="13" t="s">
        <v>17</v>
      </c>
      <c r="J351" s="13" t="s">
        <v>18</v>
      </c>
      <c r="K351" s="16" t="s">
        <v>239</v>
      </c>
    </row>
    <row r="352" spans="1:11" ht="43.15">
      <c r="A352" s="17">
        <f>_xlfn.AGGREGATE(3,1,$B$6:B352)</f>
        <v>347</v>
      </c>
      <c r="B352" s="18" t="s">
        <v>504</v>
      </c>
      <c r="C352" s="18" t="s">
        <v>176</v>
      </c>
      <c r="D352" s="21" t="s">
        <v>506</v>
      </c>
      <c r="E352" s="18" t="s">
        <v>15</v>
      </c>
      <c r="F352" s="20">
        <v>45075</v>
      </c>
      <c r="G352" s="18" t="s">
        <v>20</v>
      </c>
      <c r="H352" s="20"/>
      <c r="I352" s="18" t="s">
        <v>17</v>
      </c>
      <c r="J352" s="18" t="s">
        <v>18</v>
      </c>
      <c r="K352" s="21" t="s">
        <v>494</v>
      </c>
    </row>
    <row r="353" spans="1:11">
      <c r="A353" s="12">
        <f>_xlfn.AGGREGATE(3,1,$B$6:B353)</f>
        <v>348</v>
      </c>
      <c r="B353" s="13" t="s">
        <v>504</v>
      </c>
      <c r="C353" s="13" t="s">
        <v>176</v>
      </c>
      <c r="D353" s="16" t="s">
        <v>507</v>
      </c>
      <c r="E353" s="13" t="s">
        <v>15</v>
      </c>
      <c r="F353" s="15">
        <v>45075</v>
      </c>
      <c r="G353" s="13" t="s">
        <v>16</v>
      </c>
      <c r="H353" s="15"/>
      <c r="I353" s="13" t="s">
        <v>26</v>
      </c>
      <c r="J353" s="13" t="s">
        <v>18</v>
      </c>
      <c r="K353" s="16"/>
    </row>
    <row r="354" spans="1:11" ht="28.9">
      <c r="A354" s="17">
        <f>_xlfn.AGGREGATE(3,1,$B$6:B354)</f>
        <v>349</v>
      </c>
      <c r="B354" s="18" t="s">
        <v>508</v>
      </c>
      <c r="C354" s="18" t="s">
        <v>509</v>
      </c>
      <c r="D354" s="21" t="s">
        <v>510</v>
      </c>
      <c r="E354" s="18" t="s">
        <v>355</v>
      </c>
      <c r="F354" s="20">
        <v>45076</v>
      </c>
      <c r="G354" s="18" t="s">
        <v>16</v>
      </c>
      <c r="H354" s="20"/>
      <c r="I354" s="18" t="s">
        <v>17</v>
      </c>
      <c r="J354" s="18" t="s">
        <v>18</v>
      </c>
      <c r="K354" s="21" t="s">
        <v>511</v>
      </c>
    </row>
    <row r="355" spans="1:11" ht="28.9">
      <c r="A355" s="12">
        <f>_xlfn.AGGREGATE(3,1,$B$6:B355)</f>
        <v>350</v>
      </c>
      <c r="B355" s="13" t="s">
        <v>508</v>
      </c>
      <c r="C355" s="13" t="s">
        <v>360</v>
      </c>
      <c r="D355" s="16" t="s">
        <v>510</v>
      </c>
      <c r="E355" s="13" t="s">
        <v>355</v>
      </c>
      <c r="F355" s="15">
        <v>45076</v>
      </c>
      <c r="G355" s="13" t="s">
        <v>16</v>
      </c>
      <c r="H355" s="15"/>
      <c r="I355" s="13" t="s">
        <v>17</v>
      </c>
      <c r="J355" s="13" t="s">
        <v>18</v>
      </c>
      <c r="K355" s="16" t="s">
        <v>511</v>
      </c>
    </row>
    <row r="356" spans="1:11" ht="28.9">
      <c r="A356" s="17">
        <f>_xlfn.AGGREGATE(3,1,$B$6:B356)</f>
        <v>351</v>
      </c>
      <c r="B356" s="18" t="s">
        <v>508</v>
      </c>
      <c r="C356" s="18" t="s">
        <v>357</v>
      </c>
      <c r="D356" s="21" t="s">
        <v>510</v>
      </c>
      <c r="E356" s="18" t="s">
        <v>355</v>
      </c>
      <c r="F356" s="20">
        <v>45076</v>
      </c>
      <c r="G356" s="18" t="s">
        <v>16</v>
      </c>
      <c r="H356" s="20"/>
      <c r="I356" s="18" t="s">
        <v>17</v>
      </c>
      <c r="J356" s="18" t="s">
        <v>18</v>
      </c>
      <c r="K356" s="21" t="s">
        <v>511</v>
      </c>
    </row>
    <row r="357" spans="1:11" ht="86.45">
      <c r="A357" s="12">
        <f>_xlfn.AGGREGATE(3,1,$B$6:B357)</f>
        <v>352</v>
      </c>
      <c r="B357" s="13" t="s">
        <v>508</v>
      </c>
      <c r="C357" s="13" t="s">
        <v>365</v>
      </c>
      <c r="D357" s="16" t="s">
        <v>512</v>
      </c>
      <c r="E357" s="13" t="s">
        <v>355</v>
      </c>
      <c r="F357" s="15">
        <v>45076</v>
      </c>
      <c r="G357" s="13" t="s">
        <v>16</v>
      </c>
      <c r="H357" s="15"/>
      <c r="I357" s="13" t="s">
        <v>17</v>
      </c>
      <c r="J357" s="13" t="s">
        <v>18</v>
      </c>
      <c r="K357" s="16" t="s">
        <v>513</v>
      </c>
    </row>
    <row r="358" spans="1:11" ht="115.15">
      <c r="A358" s="17">
        <f>_xlfn.AGGREGATE(3,1,$B$6:B358)</f>
        <v>353</v>
      </c>
      <c r="B358" s="18" t="s">
        <v>508</v>
      </c>
      <c r="C358" s="18" t="s">
        <v>47</v>
      </c>
      <c r="D358" s="21" t="s">
        <v>514</v>
      </c>
      <c r="E358" s="18" t="s">
        <v>355</v>
      </c>
      <c r="F358" s="20">
        <v>45076</v>
      </c>
      <c r="G358" s="18" t="s">
        <v>20</v>
      </c>
      <c r="H358" s="20"/>
      <c r="I358" s="18" t="s">
        <v>26</v>
      </c>
      <c r="J358" s="18" t="s">
        <v>18</v>
      </c>
      <c r="K358" s="21" t="s">
        <v>515</v>
      </c>
    </row>
    <row r="359" spans="1:11" ht="28.9">
      <c r="A359" s="12">
        <f>_xlfn.AGGREGATE(3,1,$B$6:B359)</f>
        <v>354</v>
      </c>
      <c r="B359" s="13" t="s">
        <v>508</v>
      </c>
      <c r="C359" s="13" t="s">
        <v>509</v>
      </c>
      <c r="D359" s="16" t="s">
        <v>516</v>
      </c>
      <c r="E359" s="13" t="s">
        <v>355</v>
      </c>
      <c r="F359" s="15">
        <v>45076</v>
      </c>
      <c r="G359" s="13" t="s">
        <v>20</v>
      </c>
      <c r="H359" s="15"/>
      <c r="I359" s="13" t="s">
        <v>26</v>
      </c>
      <c r="J359" s="13" t="s">
        <v>18</v>
      </c>
      <c r="K359" s="16"/>
    </row>
    <row r="360" spans="1:11" ht="28.9">
      <c r="A360" s="17">
        <f>_xlfn.AGGREGATE(3,1,$B$6:B360)</f>
        <v>355</v>
      </c>
      <c r="B360" s="18" t="s">
        <v>508</v>
      </c>
      <c r="C360" s="18" t="s">
        <v>360</v>
      </c>
      <c r="D360" s="21" t="s">
        <v>516</v>
      </c>
      <c r="E360" s="18" t="s">
        <v>355</v>
      </c>
      <c r="F360" s="20">
        <v>45076</v>
      </c>
      <c r="G360" s="18" t="s">
        <v>20</v>
      </c>
      <c r="H360" s="20"/>
      <c r="I360" s="18" t="s">
        <v>26</v>
      </c>
      <c r="J360" s="18" t="s">
        <v>18</v>
      </c>
      <c r="K360" s="21"/>
    </row>
    <row r="361" spans="1:11" ht="28.9">
      <c r="A361" s="12">
        <f>_xlfn.AGGREGATE(3,1,$B$6:B361)</f>
        <v>356</v>
      </c>
      <c r="B361" s="13" t="s">
        <v>508</v>
      </c>
      <c r="C361" s="13" t="s">
        <v>357</v>
      </c>
      <c r="D361" s="16" t="s">
        <v>516</v>
      </c>
      <c r="E361" s="13" t="s">
        <v>355</v>
      </c>
      <c r="F361" s="15">
        <v>45076</v>
      </c>
      <c r="G361" s="13" t="s">
        <v>20</v>
      </c>
      <c r="H361" s="15"/>
      <c r="I361" s="13" t="s">
        <v>26</v>
      </c>
      <c r="J361" s="13" t="s">
        <v>18</v>
      </c>
      <c r="K361" s="16"/>
    </row>
    <row r="362" spans="1:11" ht="57.6">
      <c r="A362" s="17">
        <f>_xlfn.AGGREGATE(3,1,$B$6:B362)</f>
        <v>357</v>
      </c>
      <c r="B362" s="18" t="s">
        <v>517</v>
      </c>
      <c r="C362" s="18" t="s">
        <v>153</v>
      </c>
      <c r="D362" s="21" t="s">
        <v>518</v>
      </c>
      <c r="E362" s="18" t="s">
        <v>382</v>
      </c>
      <c r="F362" s="20">
        <v>45089</v>
      </c>
      <c r="G362" s="18" t="s">
        <v>20</v>
      </c>
      <c r="H362" s="20"/>
      <c r="I362" s="18" t="s">
        <v>17</v>
      </c>
      <c r="J362" s="18" t="s">
        <v>18</v>
      </c>
      <c r="K362" s="21"/>
    </row>
    <row r="363" spans="1:11">
      <c r="A363" s="12">
        <f>_xlfn.AGGREGATE(3,1,$B$6:B363)</f>
        <v>358</v>
      </c>
      <c r="B363" s="13" t="s">
        <v>517</v>
      </c>
      <c r="C363" s="13" t="s">
        <v>111</v>
      </c>
      <c r="D363" s="16" t="s">
        <v>519</v>
      </c>
      <c r="E363" s="13" t="s">
        <v>386</v>
      </c>
      <c r="F363" s="15">
        <v>45089</v>
      </c>
      <c r="G363" s="13" t="s">
        <v>20</v>
      </c>
      <c r="H363" s="15"/>
      <c r="I363" s="13" t="s">
        <v>17</v>
      </c>
      <c r="J363" s="13" t="s">
        <v>18</v>
      </c>
      <c r="K363" s="16"/>
    </row>
    <row r="364" spans="1:11" ht="28.9">
      <c r="A364" s="17">
        <f>_xlfn.AGGREGATE(3,1,$B$6:B364)</f>
        <v>359</v>
      </c>
      <c r="B364" s="18" t="s">
        <v>517</v>
      </c>
      <c r="C364" s="18" t="s">
        <v>111</v>
      </c>
      <c r="D364" s="21" t="s">
        <v>520</v>
      </c>
      <c r="E364" s="18" t="s">
        <v>386</v>
      </c>
      <c r="F364" s="20">
        <v>45089</v>
      </c>
      <c r="G364" s="18" t="s">
        <v>20</v>
      </c>
      <c r="H364" s="20"/>
      <c r="I364" s="18" t="s">
        <v>17</v>
      </c>
      <c r="J364" s="18" t="s">
        <v>18</v>
      </c>
      <c r="K364" s="21"/>
    </row>
    <row r="365" spans="1:11" ht="57.6">
      <c r="A365" s="12">
        <f>_xlfn.AGGREGATE(3,1,$B$6:B365)</f>
        <v>360</v>
      </c>
      <c r="B365" s="13" t="s">
        <v>517</v>
      </c>
      <c r="C365" s="13" t="s">
        <v>111</v>
      </c>
      <c r="D365" s="16" t="s">
        <v>521</v>
      </c>
      <c r="E365" s="13" t="s">
        <v>386</v>
      </c>
      <c r="F365" s="15">
        <v>45089</v>
      </c>
      <c r="G365" s="13" t="s">
        <v>20</v>
      </c>
      <c r="H365" s="15"/>
      <c r="I365" s="13" t="s">
        <v>17</v>
      </c>
      <c r="J365" s="13" t="s">
        <v>18</v>
      </c>
      <c r="K365" s="16"/>
    </row>
    <row r="366" spans="1:11" ht="43.15">
      <c r="A366" s="17">
        <f>_xlfn.AGGREGATE(3,1,$B$6:B366)</f>
        <v>361</v>
      </c>
      <c r="B366" s="18" t="s">
        <v>517</v>
      </c>
      <c r="C366" s="18" t="s">
        <v>522</v>
      </c>
      <c r="D366" s="21" t="s">
        <v>523</v>
      </c>
      <c r="E366" s="18" t="s">
        <v>355</v>
      </c>
      <c r="F366" s="20">
        <v>45089</v>
      </c>
      <c r="G366" s="18" t="s">
        <v>20</v>
      </c>
      <c r="H366" s="20"/>
      <c r="I366" s="18" t="s">
        <v>17</v>
      </c>
      <c r="J366" s="18" t="s">
        <v>18</v>
      </c>
      <c r="K366" s="21"/>
    </row>
    <row r="367" spans="1:11" ht="28.9">
      <c r="A367" s="12">
        <f>_xlfn.AGGREGATE(3,1,$B$6:B367)</f>
        <v>362</v>
      </c>
      <c r="B367" s="13" t="s">
        <v>517</v>
      </c>
      <c r="C367" s="13" t="s">
        <v>522</v>
      </c>
      <c r="D367" s="16" t="s">
        <v>524</v>
      </c>
      <c r="E367" s="13" t="s">
        <v>355</v>
      </c>
      <c r="F367" s="15">
        <v>45089</v>
      </c>
      <c r="G367" s="13" t="s">
        <v>16</v>
      </c>
      <c r="H367" s="15"/>
      <c r="I367" s="13" t="s">
        <v>17</v>
      </c>
      <c r="J367" s="13" t="s">
        <v>18</v>
      </c>
      <c r="K367" s="16"/>
    </row>
    <row r="368" spans="1:11" ht="43.15">
      <c r="A368" s="17">
        <f>_xlfn.AGGREGATE(3,1,$B$6:B368)</f>
        <v>363</v>
      </c>
      <c r="B368" s="18" t="s">
        <v>517</v>
      </c>
      <c r="C368" s="18" t="s">
        <v>114</v>
      </c>
      <c r="D368" s="21" t="s">
        <v>525</v>
      </c>
      <c r="E368" s="18" t="s">
        <v>388</v>
      </c>
      <c r="F368" s="20">
        <v>45089</v>
      </c>
      <c r="G368" s="18" t="s">
        <v>16</v>
      </c>
      <c r="H368" s="20"/>
      <c r="I368" s="18" t="s">
        <v>17</v>
      </c>
      <c r="J368" s="18" t="s">
        <v>18</v>
      </c>
      <c r="K368" s="21"/>
    </row>
    <row r="369" spans="1:11" ht="28.9">
      <c r="A369" s="12">
        <f>_xlfn.AGGREGATE(3,1,$B$6:B369)</f>
        <v>364</v>
      </c>
      <c r="B369" s="13" t="s">
        <v>517</v>
      </c>
      <c r="C369" s="13" t="s">
        <v>114</v>
      </c>
      <c r="D369" s="16" t="s">
        <v>526</v>
      </c>
      <c r="E369" s="13" t="s">
        <v>388</v>
      </c>
      <c r="F369" s="15">
        <v>45089</v>
      </c>
      <c r="G369" s="13" t="s">
        <v>20</v>
      </c>
      <c r="H369" s="15"/>
      <c r="I369" s="13" t="s">
        <v>17</v>
      </c>
      <c r="J369" s="13" t="s">
        <v>18</v>
      </c>
      <c r="K369" s="16"/>
    </row>
    <row r="370" spans="1:11" ht="100.9">
      <c r="A370" s="17">
        <f>_xlfn.AGGREGATE(3,1,$B$6:B370)</f>
        <v>365</v>
      </c>
      <c r="B370" s="18" t="s">
        <v>517</v>
      </c>
      <c r="C370" s="18" t="s">
        <v>47</v>
      </c>
      <c r="D370" s="21" t="s">
        <v>527</v>
      </c>
      <c r="E370" s="18" t="s">
        <v>386</v>
      </c>
      <c r="F370" s="20">
        <v>45089</v>
      </c>
      <c r="G370" s="18" t="s">
        <v>20</v>
      </c>
      <c r="H370" s="20"/>
      <c r="I370" s="18" t="s">
        <v>26</v>
      </c>
      <c r="J370" s="18" t="s">
        <v>18</v>
      </c>
      <c r="K370" s="21" t="s">
        <v>528</v>
      </c>
    </row>
    <row r="371" spans="1:11" ht="28.9">
      <c r="A371" s="12">
        <f>_xlfn.AGGREGATE(3,1,$B$6:B371)</f>
        <v>366</v>
      </c>
      <c r="B371" s="13" t="s">
        <v>517</v>
      </c>
      <c r="C371" s="13" t="s">
        <v>47</v>
      </c>
      <c r="D371" s="16" t="s">
        <v>529</v>
      </c>
      <c r="E371" s="13" t="s">
        <v>388</v>
      </c>
      <c r="F371" s="15">
        <v>45089</v>
      </c>
      <c r="G371" s="13" t="s">
        <v>16</v>
      </c>
      <c r="H371" s="15"/>
      <c r="I371" s="13" t="s">
        <v>26</v>
      </c>
      <c r="J371" s="13" t="s">
        <v>18</v>
      </c>
      <c r="K371" s="16"/>
    </row>
    <row r="372" spans="1:11" ht="57.6">
      <c r="A372" s="17">
        <f>_xlfn.AGGREGATE(3,1,$B$6:B372)</f>
        <v>367</v>
      </c>
      <c r="B372" s="18" t="s">
        <v>530</v>
      </c>
      <c r="C372" s="18" t="s">
        <v>116</v>
      </c>
      <c r="D372" s="21" t="s">
        <v>531</v>
      </c>
      <c r="E372" s="18" t="s">
        <v>38</v>
      </c>
      <c r="F372" s="20">
        <v>45090</v>
      </c>
      <c r="G372" s="18" t="s">
        <v>20</v>
      </c>
      <c r="H372" s="20"/>
      <c r="I372" s="18" t="s">
        <v>17</v>
      </c>
      <c r="J372" s="18" t="s">
        <v>18</v>
      </c>
      <c r="K372" s="21"/>
    </row>
    <row r="373" spans="1:11">
      <c r="A373" s="12">
        <f>_xlfn.AGGREGATE(3,1,$B$6:B373)</f>
        <v>368</v>
      </c>
      <c r="B373" s="13" t="s">
        <v>530</v>
      </c>
      <c r="C373" s="13" t="s">
        <v>70</v>
      </c>
      <c r="D373" s="16" t="s">
        <v>532</v>
      </c>
      <c r="E373" s="13" t="s">
        <v>38</v>
      </c>
      <c r="F373" s="15">
        <v>45090</v>
      </c>
      <c r="G373" s="13" t="s">
        <v>16</v>
      </c>
      <c r="H373" s="15"/>
      <c r="I373" s="13" t="s">
        <v>17</v>
      </c>
      <c r="J373" s="13" t="s">
        <v>18</v>
      </c>
      <c r="K373" s="16"/>
    </row>
    <row r="374" spans="1:11" ht="28.9">
      <c r="A374" s="17">
        <f>_xlfn.AGGREGATE(3,1,$B$6:B374)</f>
        <v>369</v>
      </c>
      <c r="B374" s="18" t="s">
        <v>530</v>
      </c>
      <c r="C374" s="18" t="s">
        <v>70</v>
      </c>
      <c r="D374" s="21" t="s">
        <v>533</v>
      </c>
      <c r="E374" s="18" t="s">
        <v>38</v>
      </c>
      <c r="F374" s="20">
        <v>45090</v>
      </c>
      <c r="G374" s="18" t="s">
        <v>20</v>
      </c>
      <c r="H374" s="20"/>
      <c r="I374" s="18" t="s">
        <v>26</v>
      </c>
      <c r="J374" s="18" t="s">
        <v>18</v>
      </c>
      <c r="K374" s="21" t="s">
        <v>534</v>
      </c>
    </row>
    <row r="375" spans="1:11">
      <c r="A375" s="12">
        <f>_xlfn.AGGREGATE(3,1,$B$6:B375)</f>
        <v>370</v>
      </c>
      <c r="B375" s="13" t="s">
        <v>535</v>
      </c>
      <c r="C375" s="13" t="s">
        <v>164</v>
      </c>
      <c r="D375" s="16" t="s">
        <v>536</v>
      </c>
      <c r="E375" s="13" t="s">
        <v>56</v>
      </c>
      <c r="F375" s="15">
        <v>45091</v>
      </c>
      <c r="G375" s="13" t="s">
        <v>16</v>
      </c>
      <c r="H375" s="15"/>
      <c r="I375" s="13" t="s">
        <v>17</v>
      </c>
      <c r="J375" s="13" t="s">
        <v>18</v>
      </c>
      <c r="K375" s="16"/>
    </row>
    <row r="376" spans="1:11" ht="28.9">
      <c r="A376" s="17">
        <f>_xlfn.AGGREGATE(3,1,$B$6:B376)</f>
        <v>371</v>
      </c>
      <c r="B376" s="18" t="s">
        <v>535</v>
      </c>
      <c r="C376" s="18" t="s">
        <v>537</v>
      </c>
      <c r="D376" s="21" t="s">
        <v>538</v>
      </c>
      <c r="E376" s="18" t="s">
        <v>539</v>
      </c>
      <c r="F376" s="20">
        <v>45091</v>
      </c>
      <c r="G376" s="18" t="s">
        <v>20</v>
      </c>
      <c r="H376" s="20"/>
      <c r="I376" s="18" t="s">
        <v>17</v>
      </c>
      <c r="J376" s="18" t="s">
        <v>18</v>
      </c>
      <c r="K376" s="21"/>
    </row>
    <row r="377" spans="1:11" ht="28.9">
      <c r="A377" s="12">
        <f>_xlfn.AGGREGATE(3,1,$B$6:B377)</f>
        <v>372</v>
      </c>
      <c r="B377" s="13" t="s">
        <v>535</v>
      </c>
      <c r="C377" s="13" t="s">
        <v>537</v>
      </c>
      <c r="D377" s="16" t="s">
        <v>540</v>
      </c>
      <c r="E377" s="13" t="s">
        <v>539</v>
      </c>
      <c r="F377" s="15">
        <v>45091</v>
      </c>
      <c r="G377" s="13" t="s">
        <v>16</v>
      </c>
      <c r="H377" s="15"/>
      <c r="I377" s="13" t="s">
        <v>17</v>
      </c>
      <c r="J377" s="13" t="s">
        <v>18</v>
      </c>
      <c r="K377" s="16"/>
    </row>
    <row r="378" spans="1:11" ht="43.15">
      <c r="A378" s="17">
        <f>_xlfn.AGGREGATE(3,1,$B$6:B378)</f>
        <v>373</v>
      </c>
      <c r="B378" s="18" t="s">
        <v>535</v>
      </c>
      <c r="C378" s="18" t="s">
        <v>537</v>
      </c>
      <c r="D378" s="21" t="s">
        <v>541</v>
      </c>
      <c r="E378" s="18" t="s">
        <v>539</v>
      </c>
      <c r="F378" s="20">
        <v>45091</v>
      </c>
      <c r="G378" s="18" t="s">
        <v>16</v>
      </c>
      <c r="H378" s="20"/>
      <c r="I378" s="18" t="s">
        <v>17</v>
      </c>
      <c r="J378" s="18" t="s">
        <v>18</v>
      </c>
      <c r="K378" s="21"/>
    </row>
    <row r="379" spans="1:11" ht="28.9">
      <c r="A379" s="12">
        <f>_xlfn.AGGREGATE(3,1,$B$6:B379)</f>
        <v>374</v>
      </c>
      <c r="B379" s="13" t="s">
        <v>535</v>
      </c>
      <c r="C379" s="13" t="s">
        <v>90</v>
      </c>
      <c r="D379" s="16" t="s">
        <v>542</v>
      </c>
      <c r="E379" s="13" t="s">
        <v>539</v>
      </c>
      <c r="F379" s="15">
        <v>45091</v>
      </c>
      <c r="G379" s="13" t="s">
        <v>16</v>
      </c>
      <c r="H379" s="15"/>
      <c r="I379" s="13" t="s">
        <v>17</v>
      </c>
      <c r="J379" s="13" t="s">
        <v>18</v>
      </c>
      <c r="K379" s="16"/>
    </row>
    <row r="380" spans="1:11">
      <c r="A380" s="17">
        <f>_xlfn.AGGREGATE(3,1,$B$6:B380)</f>
        <v>375</v>
      </c>
      <c r="B380" s="18" t="s">
        <v>535</v>
      </c>
      <c r="C380" s="18" t="s">
        <v>543</v>
      </c>
      <c r="D380" s="21" t="s">
        <v>544</v>
      </c>
      <c r="E380" s="18" t="s">
        <v>539</v>
      </c>
      <c r="F380" s="20">
        <v>45091</v>
      </c>
      <c r="G380" s="18" t="s">
        <v>16</v>
      </c>
      <c r="H380" s="20"/>
      <c r="I380" s="18" t="s">
        <v>17</v>
      </c>
      <c r="J380" s="18" t="s">
        <v>18</v>
      </c>
      <c r="K380" s="21"/>
    </row>
    <row r="381" spans="1:11">
      <c r="A381" s="12">
        <f>_xlfn.AGGREGATE(3,1,$B$6:B381)</f>
        <v>376</v>
      </c>
      <c r="B381" s="13" t="s">
        <v>535</v>
      </c>
      <c r="C381" s="13" t="s">
        <v>543</v>
      </c>
      <c r="D381" s="16" t="s">
        <v>545</v>
      </c>
      <c r="E381" s="13" t="s">
        <v>539</v>
      </c>
      <c r="F381" s="15">
        <v>45091</v>
      </c>
      <c r="G381" s="13" t="s">
        <v>16</v>
      </c>
      <c r="H381" s="15"/>
      <c r="I381" s="13" t="s">
        <v>17</v>
      </c>
      <c r="J381" s="13" t="s">
        <v>18</v>
      </c>
      <c r="K381" s="16"/>
    </row>
    <row r="382" spans="1:11" ht="43.15">
      <c r="A382" s="17">
        <f>_xlfn.AGGREGATE(3,1,$B$6:B382)</f>
        <v>377</v>
      </c>
      <c r="B382" s="18" t="s">
        <v>535</v>
      </c>
      <c r="C382" s="18" t="s">
        <v>144</v>
      </c>
      <c r="D382" s="21" t="s">
        <v>546</v>
      </c>
      <c r="E382" s="18" t="s">
        <v>411</v>
      </c>
      <c r="F382" s="20">
        <v>45091</v>
      </c>
      <c r="G382" s="18" t="s">
        <v>20</v>
      </c>
      <c r="H382" s="20"/>
      <c r="I382" s="18" t="s">
        <v>17</v>
      </c>
      <c r="J382" s="18" t="s">
        <v>18</v>
      </c>
      <c r="K382" s="21"/>
    </row>
    <row r="383" spans="1:11" ht="43.15">
      <c r="A383" s="12">
        <f>_xlfn.AGGREGATE(3,1,$B$6:B383)</f>
        <v>378</v>
      </c>
      <c r="B383" s="13" t="s">
        <v>535</v>
      </c>
      <c r="C383" s="13" t="s">
        <v>144</v>
      </c>
      <c r="D383" s="16" t="s">
        <v>547</v>
      </c>
      <c r="E383" s="13" t="s">
        <v>411</v>
      </c>
      <c r="F383" s="15">
        <v>45091</v>
      </c>
      <c r="G383" s="13" t="s">
        <v>20</v>
      </c>
      <c r="H383" s="15"/>
      <c r="I383" s="13" t="s">
        <v>17</v>
      </c>
      <c r="J383" s="13" t="s">
        <v>18</v>
      </c>
      <c r="K383" s="16"/>
    </row>
    <row r="384" spans="1:11" ht="43.15">
      <c r="A384" s="17">
        <f>_xlfn.AGGREGATE(3,1,$B$6:B384)</f>
        <v>379</v>
      </c>
      <c r="B384" s="18" t="s">
        <v>535</v>
      </c>
      <c r="C384" s="18" t="s">
        <v>28</v>
      </c>
      <c r="D384" s="21" t="s">
        <v>548</v>
      </c>
      <c r="E384" s="18" t="s">
        <v>411</v>
      </c>
      <c r="F384" s="20">
        <v>45091</v>
      </c>
      <c r="G384" s="18" t="s">
        <v>20</v>
      </c>
      <c r="H384" s="20"/>
      <c r="I384" s="18" t="s">
        <v>17</v>
      </c>
      <c r="J384" s="18" t="s">
        <v>18</v>
      </c>
      <c r="K384" s="21"/>
    </row>
    <row r="385" spans="1:11" ht="158.44999999999999">
      <c r="A385" s="12">
        <f>_xlfn.AGGREGATE(3,1,$B$6:B385)</f>
        <v>380</v>
      </c>
      <c r="B385" s="13" t="s">
        <v>535</v>
      </c>
      <c r="C385" s="13" t="s">
        <v>47</v>
      </c>
      <c r="D385" s="16" t="s">
        <v>549</v>
      </c>
      <c r="E385" s="13" t="s">
        <v>56</v>
      </c>
      <c r="F385" s="15">
        <v>45091</v>
      </c>
      <c r="G385" s="13" t="s">
        <v>20</v>
      </c>
      <c r="H385" s="15"/>
      <c r="I385" s="13" t="s">
        <v>26</v>
      </c>
      <c r="J385" s="13" t="s">
        <v>18</v>
      </c>
      <c r="K385" s="16" t="s">
        <v>488</v>
      </c>
    </row>
    <row r="386" spans="1:11">
      <c r="A386" s="17">
        <f>_xlfn.AGGREGATE(3,1,$B$6:B386)</f>
        <v>381</v>
      </c>
      <c r="B386" s="18" t="s">
        <v>535</v>
      </c>
      <c r="C386" s="18" t="s">
        <v>144</v>
      </c>
      <c r="D386" s="21" t="s">
        <v>550</v>
      </c>
      <c r="E386" s="18" t="s">
        <v>411</v>
      </c>
      <c r="F386" s="20">
        <v>45091</v>
      </c>
      <c r="G386" s="18" t="s">
        <v>16</v>
      </c>
      <c r="H386" s="20"/>
      <c r="I386" s="18" t="s">
        <v>26</v>
      </c>
      <c r="J386" s="18" t="s">
        <v>18</v>
      </c>
      <c r="K386" s="21"/>
    </row>
    <row r="387" spans="1:11" ht="72">
      <c r="A387" s="12">
        <f>_xlfn.AGGREGATE(3,1,$B$6:B387)</f>
        <v>382</v>
      </c>
      <c r="B387" s="13" t="s">
        <v>551</v>
      </c>
      <c r="C387" s="13" t="s">
        <v>465</v>
      </c>
      <c r="D387" s="16" t="s">
        <v>552</v>
      </c>
      <c r="E387" s="13" t="s">
        <v>393</v>
      </c>
      <c r="F387" s="15">
        <v>45091</v>
      </c>
      <c r="G387" s="13" t="s">
        <v>20</v>
      </c>
      <c r="H387" s="15"/>
      <c r="I387" s="13" t="s">
        <v>17</v>
      </c>
      <c r="J387" s="13" t="s">
        <v>18</v>
      </c>
      <c r="K387" s="16"/>
    </row>
    <row r="388" spans="1:11" ht="28.9">
      <c r="A388" s="17">
        <f>_xlfn.AGGREGATE(3,1,$B$6:B388)</f>
        <v>383</v>
      </c>
      <c r="B388" s="18" t="s">
        <v>551</v>
      </c>
      <c r="C388" s="18" t="s">
        <v>47</v>
      </c>
      <c r="D388" s="21" t="s">
        <v>553</v>
      </c>
      <c r="E388" s="18" t="s">
        <v>393</v>
      </c>
      <c r="F388" s="20">
        <v>45091</v>
      </c>
      <c r="G388" s="18" t="s">
        <v>20</v>
      </c>
      <c r="H388" s="20"/>
      <c r="I388" s="18" t="s">
        <v>17</v>
      </c>
      <c r="J388" s="18" t="s">
        <v>18</v>
      </c>
      <c r="K388" s="21"/>
    </row>
    <row r="389" spans="1:11" ht="28.9">
      <c r="A389" s="12">
        <f>_xlfn.AGGREGATE(3,1,$B$6:B389)</f>
        <v>384</v>
      </c>
      <c r="B389" s="13" t="s">
        <v>551</v>
      </c>
      <c r="C389" s="13" t="s">
        <v>554</v>
      </c>
      <c r="D389" s="16" t="s">
        <v>555</v>
      </c>
      <c r="E389" s="13" t="s">
        <v>159</v>
      </c>
      <c r="F389" s="15">
        <v>45091</v>
      </c>
      <c r="G389" s="13" t="s">
        <v>20</v>
      </c>
      <c r="H389" s="15"/>
      <c r="I389" s="13" t="s">
        <v>17</v>
      </c>
      <c r="J389" s="13" t="s">
        <v>18</v>
      </c>
      <c r="K389" s="16"/>
    </row>
    <row r="390" spans="1:11" ht="43.15">
      <c r="A390" s="17">
        <f>_xlfn.AGGREGATE(3,1,$B$6:B390)</f>
        <v>385</v>
      </c>
      <c r="B390" s="18" t="s">
        <v>551</v>
      </c>
      <c r="C390" s="18" t="s">
        <v>114</v>
      </c>
      <c r="D390" s="21" t="s">
        <v>525</v>
      </c>
      <c r="E390" s="18" t="s">
        <v>30</v>
      </c>
      <c r="F390" s="20">
        <v>45091</v>
      </c>
      <c r="G390" s="18" t="s">
        <v>16</v>
      </c>
      <c r="H390" s="20"/>
      <c r="I390" s="18" t="s">
        <v>17</v>
      </c>
      <c r="J390" s="18" t="s">
        <v>18</v>
      </c>
      <c r="K390" s="21"/>
    </row>
    <row r="391" spans="1:11" ht="43.15">
      <c r="A391" s="12">
        <f>_xlfn.AGGREGATE(3,1,$B$6:B391)</f>
        <v>386</v>
      </c>
      <c r="B391" s="13" t="s">
        <v>551</v>
      </c>
      <c r="C391" s="13" t="s">
        <v>114</v>
      </c>
      <c r="D391" s="16" t="s">
        <v>556</v>
      </c>
      <c r="E391" s="13" t="s">
        <v>30</v>
      </c>
      <c r="F391" s="15">
        <v>45091</v>
      </c>
      <c r="G391" s="13" t="s">
        <v>20</v>
      </c>
      <c r="H391" s="15"/>
      <c r="I391" s="13" t="s">
        <v>17</v>
      </c>
      <c r="J391" s="13" t="s">
        <v>18</v>
      </c>
      <c r="K391" s="16"/>
    </row>
    <row r="392" spans="1:11">
      <c r="A392" s="17">
        <f>_xlfn.AGGREGATE(3,1,$B$6:B392)</f>
        <v>387</v>
      </c>
      <c r="B392" s="18" t="s">
        <v>551</v>
      </c>
      <c r="C392" s="18" t="s">
        <v>500</v>
      </c>
      <c r="D392" s="21" t="s">
        <v>501</v>
      </c>
      <c r="E392" s="18" t="s">
        <v>183</v>
      </c>
      <c r="F392" s="20">
        <v>45091</v>
      </c>
      <c r="G392" s="18" t="s">
        <v>16</v>
      </c>
      <c r="H392" s="20"/>
      <c r="I392" s="18" t="s">
        <v>17</v>
      </c>
      <c r="J392" s="18" t="s">
        <v>18</v>
      </c>
      <c r="K392" s="21"/>
    </row>
    <row r="393" spans="1:11" ht="43.15">
      <c r="A393" s="12">
        <f>_xlfn.AGGREGATE(3,1,$B$6:B393)</f>
        <v>388</v>
      </c>
      <c r="B393" s="13" t="s">
        <v>551</v>
      </c>
      <c r="C393" s="13" t="s">
        <v>157</v>
      </c>
      <c r="D393" s="16" t="s">
        <v>557</v>
      </c>
      <c r="E393" s="13" t="s">
        <v>183</v>
      </c>
      <c r="F393" s="15">
        <v>45091</v>
      </c>
      <c r="G393" s="13" t="s">
        <v>20</v>
      </c>
      <c r="H393" s="15"/>
      <c r="I393" s="13" t="s">
        <v>17</v>
      </c>
      <c r="J393" s="13" t="s">
        <v>18</v>
      </c>
      <c r="K393" s="16"/>
    </row>
    <row r="394" spans="1:11">
      <c r="A394" s="17">
        <f>_xlfn.AGGREGATE(3,1,$B$6:B394)</f>
        <v>389</v>
      </c>
      <c r="B394" s="18" t="s">
        <v>551</v>
      </c>
      <c r="C394" s="18" t="s">
        <v>157</v>
      </c>
      <c r="D394" s="21" t="s">
        <v>519</v>
      </c>
      <c r="E394" s="18" t="s">
        <v>183</v>
      </c>
      <c r="F394" s="20">
        <v>45090</v>
      </c>
      <c r="G394" s="18" t="s">
        <v>20</v>
      </c>
      <c r="H394" s="20"/>
      <c r="I394" s="18" t="s">
        <v>17</v>
      </c>
      <c r="J394" s="18" t="s">
        <v>18</v>
      </c>
      <c r="K394" s="21"/>
    </row>
    <row r="395" spans="1:11">
      <c r="A395" s="12">
        <f>_xlfn.AGGREGATE(3,1,$B$6:B395)</f>
        <v>390</v>
      </c>
      <c r="B395" s="13" t="s">
        <v>558</v>
      </c>
      <c r="C395" s="13" t="s">
        <v>140</v>
      </c>
      <c r="D395" s="16" t="s">
        <v>559</v>
      </c>
      <c r="E395" s="13" t="s">
        <v>382</v>
      </c>
      <c r="F395" s="15">
        <v>45117</v>
      </c>
      <c r="G395" s="13" t="s">
        <v>16</v>
      </c>
      <c r="H395" s="15"/>
      <c r="I395" s="13" t="s">
        <v>17</v>
      </c>
      <c r="J395" s="13" t="s">
        <v>18</v>
      </c>
      <c r="K395" s="16"/>
    </row>
    <row r="396" spans="1:11">
      <c r="A396" s="17">
        <f>_xlfn.AGGREGATE(3,1,$B$6:B396)</f>
        <v>391</v>
      </c>
      <c r="B396" s="18" t="s">
        <v>558</v>
      </c>
      <c r="C396" s="18" t="s">
        <v>140</v>
      </c>
      <c r="D396" s="21" t="s">
        <v>560</v>
      </c>
      <c r="E396" s="18" t="s">
        <v>382</v>
      </c>
      <c r="F396" s="20">
        <v>45117</v>
      </c>
      <c r="G396" s="18" t="s">
        <v>16</v>
      </c>
      <c r="H396" s="20"/>
      <c r="I396" s="18" t="s">
        <v>17</v>
      </c>
      <c r="J396" s="18" t="s">
        <v>18</v>
      </c>
      <c r="K396" s="21"/>
    </row>
    <row r="397" spans="1:11" ht="57.6">
      <c r="A397" s="12">
        <f>_xlfn.AGGREGATE(3,1,$B$6:B397)</f>
        <v>392</v>
      </c>
      <c r="B397" s="13" t="s">
        <v>558</v>
      </c>
      <c r="C397" s="13" t="s">
        <v>140</v>
      </c>
      <c r="D397" s="16" t="s">
        <v>561</v>
      </c>
      <c r="E397" s="13" t="s">
        <v>382</v>
      </c>
      <c r="F397" s="15">
        <v>45117</v>
      </c>
      <c r="G397" s="13" t="s">
        <v>20</v>
      </c>
      <c r="H397" s="15"/>
      <c r="I397" s="13" t="s">
        <v>17</v>
      </c>
      <c r="J397" s="13" t="s">
        <v>18</v>
      </c>
      <c r="K397" s="16"/>
    </row>
    <row r="398" spans="1:11" ht="57.6">
      <c r="A398" s="17">
        <f>_xlfn.AGGREGATE(3,1,$B$6:B398)</f>
        <v>393</v>
      </c>
      <c r="B398" s="18" t="s">
        <v>558</v>
      </c>
      <c r="C398" s="18" t="s">
        <v>140</v>
      </c>
      <c r="D398" s="21" t="s">
        <v>562</v>
      </c>
      <c r="E398" s="18" t="s">
        <v>382</v>
      </c>
      <c r="F398" s="20">
        <v>45117</v>
      </c>
      <c r="G398" s="18" t="s">
        <v>20</v>
      </c>
      <c r="H398" s="20"/>
      <c r="I398" s="18" t="s">
        <v>17</v>
      </c>
      <c r="J398" s="18" t="s">
        <v>18</v>
      </c>
      <c r="K398" s="21"/>
    </row>
    <row r="399" spans="1:11" ht="57.6">
      <c r="A399" s="12">
        <f>_xlfn.AGGREGATE(3,1,$B$6:B399)</f>
        <v>394</v>
      </c>
      <c r="B399" s="13" t="s">
        <v>558</v>
      </c>
      <c r="C399" s="13" t="s">
        <v>563</v>
      </c>
      <c r="D399" s="16" t="s">
        <v>564</v>
      </c>
      <c r="E399" s="13" t="s">
        <v>355</v>
      </c>
      <c r="F399" s="15">
        <v>45117</v>
      </c>
      <c r="G399" s="13" t="s">
        <v>20</v>
      </c>
      <c r="H399" s="15"/>
      <c r="I399" s="13" t="s">
        <v>17</v>
      </c>
      <c r="J399" s="13" t="s">
        <v>18</v>
      </c>
      <c r="K399" s="16"/>
    </row>
    <row r="400" spans="1:11" ht="72">
      <c r="A400" s="17">
        <f>_xlfn.AGGREGATE(3,1,$B$6:B400)</f>
        <v>395</v>
      </c>
      <c r="B400" s="18" t="s">
        <v>558</v>
      </c>
      <c r="C400" s="18" t="s">
        <v>502</v>
      </c>
      <c r="D400" s="21" t="s">
        <v>565</v>
      </c>
      <c r="E400" s="18" t="s">
        <v>355</v>
      </c>
      <c r="F400" s="20">
        <v>45117</v>
      </c>
      <c r="G400" s="18" t="s">
        <v>16</v>
      </c>
      <c r="H400" s="20"/>
      <c r="I400" s="18" t="s">
        <v>17</v>
      </c>
      <c r="J400" s="18" t="s">
        <v>18</v>
      </c>
      <c r="K400" s="21"/>
    </row>
    <row r="401" spans="1:11" ht="43.15">
      <c r="A401" s="12">
        <f>_xlfn.AGGREGATE(3,1,$B$6:B401)</f>
        <v>396</v>
      </c>
      <c r="B401" s="13" t="s">
        <v>558</v>
      </c>
      <c r="C401" s="13" t="s">
        <v>47</v>
      </c>
      <c r="D401" s="16" t="s">
        <v>566</v>
      </c>
      <c r="E401" s="13" t="s">
        <v>382</v>
      </c>
      <c r="F401" s="15">
        <v>45117</v>
      </c>
      <c r="G401" s="13" t="s">
        <v>16</v>
      </c>
      <c r="H401" s="15"/>
      <c r="I401" s="13" t="s">
        <v>26</v>
      </c>
      <c r="J401" s="13" t="s">
        <v>18</v>
      </c>
      <c r="K401" s="16" t="s">
        <v>528</v>
      </c>
    </row>
    <row r="402" spans="1:11" ht="72">
      <c r="A402" s="17">
        <f>_xlfn.AGGREGATE(3,1,$B$6:B402)</f>
        <v>397</v>
      </c>
      <c r="B402" s="18" t="s">
        <v>558</v>
      </c>
      <c r="C402" s="18" t="s">
        <v>47</v>
      </c>
      <c r="D402" s="21" t="s">
        <v>567</v>
      </c>
      <c r="E402" s="18" t="s">
        <v>386</v>
      </c>
      <c r="F402" s="20">
        <v>45117</v>
      </c>
      <c r="G402" s="18" t="s">
        <v>16</v>
      </c>
      <c r="H402" s="20"/>
      <c r="I402" s="18" t="s">
        <v>26</v>
      </c>
      <c r="J402" s="18" t="s">
        <v>18</v>
      </c>
      <c r="K402" s="21" t="s">
        <v>568</v>
      </c>
    </row>
    <row r="403" spans="1:11">
      <c r="A403" s="12">
        <f>_xlfn.AGGREGATE(3,1,$B$6:B403)</f>
        <v>398</v>
      </c>
      <c r="B403" s="13" t="s">
        <v>569</v>
      </c>
      <c r="C403" s="13" t="s">
        <v>500</v>
      </c>
      <c r="D403" s="16" t="s">
        <v>501</v>
      </c>
      <c r="E403" s="13" t="s">
        <v>183</v>
      </c>
      <c r="F403" s="15">
        <v>45119</v>
      </c>
      <c r="G403" s="13" t="s">
        <v>16</v>
      </c>
      <c r="H403" s="15"/>
      <c r="I403" s="13" t="s">
        <v>17</v>
      </c>
      <c r="J403" s="13" t="s">
        <v>18</v>
      </c>
      <c r="K403" s="16"/>
    </row>
    <row r="404" spans="1:11" ht="43.15">
      <c r="A404" s="17">
        <f>_xlfn.AGGREGATE(3,1,$B$6:B404)</f>
        <v>399</v>
      </c>
      <c r="B404" s="18" t="s">
        <v>569</v>
      </c>
      <c r="C404" s="18" t="s">
        <v>47</v>
      </c>
      <c r="D404" s="21" t="s">
        <v>570</v>
      </c>
      <c r="E404" s="18" t="s">
        <v>30</v>
      </c>
      <c r="F404" s="20">
        <v>45119</v>
      </c>
      <c r="G404" s="18" t="s">
        <v>20</v>
      </c>
      <c r="H404" s="20"/>
      <c r="I404" s="18" t="s">
        <v>17</v>
      </c>
      <c r="J404" s="18" t="s">
        <v>18</v>
      </c>
      <c r="K404" s="21"/>
    </row>
    <row r="405" spans="1:11" ht="86.45">
      <c r="A405" s="12">
        <f>_xlfn.AGGREGATE(3,1,$B$6:B405)</f>
        <v>400</v>
      </c>
      <c r="B405" s="13" t="s">
        <v>569</v>
      </c>
      <c r="C405" s="13" t="s">
        <v>571</v>
      </c>
      <c r="D405" s="16" t="s">
        <v>512</v>
      </c>
      <c r="E405" s="13" t="s">
        <v>30</v>
      </c>
      <c r="F405" s="15">
        <v>45119</v>
      </c>
      <c r="G405" s="13" t="s">
        <v>16</v>
      </c>
      <c r="H405" s="15"/>
      <c r="I405" s="13" t="s">
        <v>17</v>
      </c>
      <c r="J405" s="13" t="s">
        <v>18</v>
      </c>
      <c r="K405" s="16"/>
    </row>
    <row r="406" spans="1:11" ht="28.9">
      <c r="A406" s="17">
        <f>_xlfn.AGGREGATE(3,1,$B$6:B406)</f>
        <v>401</v>
      </c>
      <c r="B406" s="18" t="s">
        <v>569</v>
      </c>
      <c r="C406" s="18" t="s">
        <v>116</v>
      </c>
      <c r="D406" s="21" t="s">
        <v>572</v>
      </c>
      <c r="E406" s="18" t="s">
        <v>30</v>
      </c>
      <c r="F406" s="20">
        <v>45119</v>
      </c>
      <c r="G406" s="18" t="s">
        <v>20</v>
      </c>
      <c r="H406" s="20"/>
      <c r="I406" s="18" t="s">
        <v>17</v>
      </c>
      <c r="J406" s="18" t="s">
        <v>18</v>
      </c>
      <c r="K406" s="21"/>
    </row>
    <row r="407" spans="1:11" ht="57.6">
      <c r="A407" s="12">
        <f>_xlfn.AGGREGATE(3,1,$B$6:B407)</f>
        <v>402</v>
      </c>
      <c r="B407" s="13" t="s">
        <v>569</v>
      </c>
      <c r="C407" s="13" t="s">
        <v>136</v>
      </c>
      <c r="D407" s="16" t="s">
        <v>518</v>
      </c>
      <c r="E407" s="13" t="s">
        <v>330</v>
      </c>
      <c r="F407" s="15">
        <v>45119</v>
      </c>
      <c r="G407" s="13" t="s">
        <v>20</v>
      </c>
      <c r="H407" s="15"/>
      <c r="I407" s="13" t="s">
        <v>17</v>
      </c>
      <c r="J407" s="13" t="s">
        <v>18</v>
      </c>
      <c r="K407" s="16"/>
    </row>
    <row r="408" spans="1:11" ht="43.15">
      <c r="A408" s="17">
        <f>_xlfn.AGGREGATE(3,1,$B$6:B408)</f>
        <v>403</v>
      </c>
      <c r="B408" s="18" t="s">
        <v>573</v>
      </c>
      <c r="C408" s="18" t="s">
        <v>437</v>
      </c>
      <c r="D408" s="21" t="s">
        <v>574</v>
      </c>
      <c r="E408" s="18" t="s">
        <v>355</v>
      </c>
      <c r="F408" s="20">
        <v>45131</v>
      </c>
      <c r="G408" s="18" t="s">
        <v>20</v>
      </c>
      <c r="H408" s="20"/>
      <c r="I408" s="18" t="s">
        <v>17</v>
      </c>
      <c r="J408" s="18" t="s">
        <v>18</v>
      </c>
      <c r="K408" s="21"/>
    </row>
    <row r="409" spans="1:11" ht="28.9">
      <c r="A409" s="12">
        <f>_xlfn.AGGREGATE(3,1,$B$6:B409)</f>
        <v>404</v>
      </c>
      <c r="B409" s="13" t="s">
        <v>573</v>
      </c>
      <c r="C409" s="13" t="s">
        <v>509</v>
      </c>
      <c r="D409" s="16" t="s">
        <v>575</v>
      </c>
      <c r="E409" s="13" t="s">
        <v>355</v>
      </c>
      <c r="F409" s="15">
        <v>45131</v>
      </c>
      <c r="G409" s="13" t="s">
        <v>20</v>
      </c>
      <c r="H409" s="15"/>
      <c r="I409" s="13" t="s">
        <v>17</v>
      </c>
      <c r="J409" s="13" t="s">
        <v>18</v>
      </c>
      <c r="K409" s="16"/>
    </row>
    <row r="410" spans="1:11">
      <c r="A410" s="17">
        <f>_xlfn.AGGREGATE(3,1,$B$6:B410)</f>
        <v>405</v>
      </c>
      <c r="B410" s="18" t="s">
        <v>573</v>
      </c>
      <c r="C410" s="18" t="s">
        <v>437</v>
      </c>
      <c r="D410" s="21" t="s">
        <v>576</v>
      </c>
      <c r="E410" s="18" t="s">
        <v>355</v>
      </c>
      <c r="F410" s="20">
        <v>45131</v>
      </c>
      <c r="G410" s="18" t="s">
        <v>77</v>
      </c>
      <c r="H410" s="20"/>
      <c r="I410" s="18" t="s">
        <v>17</v>
      </c>
      <c r="J410" s="18" t="s">
        <v>18</v>
      </c>
      <c r="K410" s="21"/>
    </row>
    <row r="411" spans="1:11">
      <c r="A411" s="12">
        <f>_xlfn.AGGREGATE(3,1,$B$6:B411)</f>
        <v>406</v>
      </c>
      <c r="B411" s="13" t="s">
        <v>573</v>
      </c>
      <c r="C411" s="13" t="s">
        <v>509</v>
      </c>
      <c r="D411" s="16" t="s">
        <v>576</v>
      </c>
      <c r="E411" s="13" t="s">
        <v>355</v>
      </c>
      <c r="F411" s="15">
        <v>45131</v>
      </c>
      <c r="G411" s="13" t="s">
        <v>77</v>
      </c>
      <c r="H411" s="15"/>
      <c r="I411" s="13" t="s">
        <v>17</v>
      </c>
      <c r="J411" s="13" t="s">
        <v>18</v>
      </c>
      <c r="K411" s="16"/>
    </row>
    <row r="412" spans="1:11" ht="86.45">
      <c r="A412" s="17">
        <f>_xlfn.AGGREGATE(3,1,$B$6:B412)</f>
        <v>407</v>
      </c>
      <c r="B412" s="18" t="s">
        <v>573</v>
      </c>
      <c r="C412" s="18" t="s">
        <v>577</v>
      </c>
      <c r="D412" s="21" t="s">
        <v>578</v>
      </c>
      <c r="E412" s="18" t="s">
        <v>355</v>
      </c>
      <c r="F412" s="20">
        <v>45131</v>
      </c>
      <c r="G412" s="18" t="s">
        <v>20</v>
      </c>
      <c r="H412" s="20"/>
      <c r="I412" s="18" t="s">
        <v>17</v>
      </c>
      <c r="J412" s="18" t="s">
        <v>18</v>
      </c>
      <c r="K412" s="21"/>
    </row>
    <row r="413" spans="1:11" ht="86.45">
      <c r="A413" s="12">
        <f>_xlfn.AGGREGATE(3,1,$B$6:B413)</f>
        <v>408</v>
      </c>
      <c r="B413" s="13" t="s">
        <v>573</v>
      </c>
      <c r="C413" s="13" t="s">
        <v>47</v>
      </c>
      <c r="D413" s="16" t="s">
        <v>579</v>
      </c>
      <c r="E413" s="13" t="s">
        <v>355</v>
      </c>
      <c r="F413" s="15">
        <v>45131</v>
      </c>
      <c r="G413" s="13" t="s">
        <v>20</v>
      </c>
      <c r="H413" s="15"/>
      <c r="I413" s="13" t="s">
        <v>26</v>
      </c>
      <c r="J413" s="13" t="s">
        <v>18</v>
      </c>
      <c r="K413" s="16"/>
    </row>
    <row r="414" spans="1:11" ht="43.15">
      <c r="A414" s="17">
        <f>_xlfn.AGGREGATE(3,1,$B$6:B414)</f>
        <v>409</v>
      </c>
      <c r="B414" s="18" t="s">
        <v>573</v>
      </c>
      <c r="C414" s="18" t="s">
        <v>47</v>
      </c>
      <c r="D414" s="21" t="s">
        <v>580</v>
      </c>
      <c r="E414" s="18" t="s">
        <v>388</v>
      </c>
      <c r="F414" s="20">
        <v>45131</v>
      </c>
      <c r="G414" s="18" t="s">
        <v>20</v>
      </c>
      <c r="H414" s="20"/>
      <c r="I414" s="18" t="s">
        <v>26</v>
      </c>
      <c r="J414" s="18" t="s">
        <v>18</v>
      </c>
      <c r="K414" s="21" t="s">
        <v>581</v>
      </c>
    </row>
    <row r="415" spans="1:11" ht="43.15">
      <c r="A415" s="12">
        <f>_xlfn.AGGREGATE(3,1,$B$6:B415)</f>
        <v>410</v>
      </c>
      <c r="B415" s="13" t="s">
        <v>582</v>
      </c>
      <c r="C415" s="13" t="s">
        <v>40</v>
      </c>
      <c r="D415" s="16" t="s">
        <v>583</v>
      </c>
      <c r="E415" s="13" t="s">
        <v>411</v>
      </c>
      <c r="F415" s="15">
        <v>45134</v>
      </c>
      <c r="G415" s="13" t="s">
        <v>20</v>
      </c>
      <c r="H415" s="15"/>
      <c r="I415" s="13" t="s">
        <v>17</v>
      </c>
      <c r="J415" s="13" t="s">
        <v>18</v>
      </c>
      <c r="K415" s="16"/>
    </row>
    <row r="416" spans="1:11" ht="43.15">
      <c r="A416" s="17">
        <f>_xlfn.AGGREGATE(3,1,$B$6:B416)</f>
        <v>411</v>
      </c>
      <c r="B416" s="18" t="s">
        <v>582</v>
      </c>
      <c r="C416" s="18" t="s">
        <v>164</v>
      </c>
      <c r="D416" s="21" t="s">
        <v>584</v>
      </c>
      <c r="E416" s="18" t="s">
        <v>411</v>
      </c>
      <c r="F416" s="20">
        <v>45134</v>
      </c>
      <c r="G416" s="18" t="s">
        <v>20</v>
      </c>
      <c r="H416" s="20"/>
      <c r="I416" s="18" t="s">
        <v>17</v>
      </c>
      <c r="J416" s="18" t="s">
        <v>18</v>
      </c>
      <c r="K416" s="21"/>
    </row>
    <row r="417" spans="1:11" ht="28.9">
      <c r="A417" s="12">
        <f>_xlfn.AGGREGATE(3,1,$B$6:B417)</f>
        <v>412</v>
      </c>
      <c r="B417" s="13" t="s">
        <v>582</v>
      </c>
      <c r="C417" s="13" t="s">
        <v>40</v>
      </c>
      <c r="D417" s="16" t="s">
        <v>585</v>
      </c>
      <c r="E417" s="13" t="s">
        <v>411</v>
      </c>
      <c r="F417" s="15">
        <v>45134</v>
      </c>
      <c r="G417" s="13" t="s">
        <v>16</v>
      </c>
      <c r="H417" s="15"/>
      <c r="I417" s="13" t="s">
        <v>17</v>
      </c>
      <c r="J417" s="13" t="s">
        <v>18</v>
      </c>
      <c r="K417" s="16"/>
    </row>
    <row r="418" spans="1:11" ht="28.9">
      <c r="A418" s="17">
        <f>_xlfn.AGGREGATE(3,1,$B$6:B418)</f>
        <v>413</v>
      </c>
      <c r="B418" s="18" t="s">
        <v>582</v>
      </c>
      <c r="C418" s="18" t="s">
        <v>164</v>
      </c>
      <c r="D418" s="21" t="s">
        <v>585</v>
      </c>
      <c r="E418" s="18" t="s">
        <v>411</v>
      </c>
      <c r="F418" s="20">
        <v>45134</v>
      </c>
      <c r="G418" s="18" t="s">
        <v>16</v>
      </c>
      <c r="H418" s="20"/>
      <c r="I418" s="18" t="s">
        <v>17</v>
      </c>
      <c r="J418" s="18" t="s">
        <v>18</v>
      </c>
      <c r="K418" s="21"/>
    </row>
    <row r="419" spans="1:11" ht="28.9">
      <c r="A419" s="12">
        <f>_xlfn.AGGREGATE(3,1,$B$6:B419)</f>
        <v>414</v>
      </c>
      <c r="B419" s="13" t="s">
        <v>582</v>
      </c>
      <c r="C419" s="13" t="s">
        <v>72</v>
      </c>
      <c r="D419" s="16" t="s">
        <v>586</v>
      </c>
      <c r="E419" s="13" t="s">
        <v>259</v>
      </c>
      <c r="F419" s="15">
        <v>45134</v>
      </c>
      <c r="G419" s="13" t="s">
        <v>16</v>
      </c>
      <c r="H419" s="15"/>
      <c r="I419" s="13" t="s">
        <v>17</v>
      </c>
      <c r="J419" s="13" t="s">
        <v>18</v>
      </c>
      <c r="K419" s="16"/>
    </row>
    <row r="420" spans="1:11" ht="43.15">
      <c r="A420" s="17">
        <f>_xlfn.AGGREGATE(3,1,$B$6:B420)</f>
        <v>415</v>
      </c>
      <c r="B420" s="18" t="s">
        <v>582</v>
      </c>
      <c r="C420" s="18" t="s">
        <v>47</v>
      </c>
      <c r="D420" s="21" t="s">
        <v>587</v>
      </c>
      <c r="E420" s="18" t="s">
        <v>411</v>
      </c>
      <c r="F420" s="20">
        <v>45134</v>
      </c>
      <c r="G420" s="18" t="s">
        <v>16</v>
      </c>
      <c r="H420" s="20"/>
      <c r="I420" s="18" t="s">
        <v>26</v>
      </c>
      <c r="J420" s="18" t="s">
        <v>18</v>
      </c>
      <c r="K420" s="21" t="s">
        <v>528</v>
      </c>
    </row>
    <row r="421" spans="1:11" ht="43.15">
      <c r="A421" s="12">
        <f>_xlfn.AGGREGATE(3,1,$B$6:B421)</f>
        <v>416</v>
      </c>
      <c r="B421" s="13" t="s">
        <v>582</v>
      </c>
      <c r="C421" s="13" t="s">
        <v>47</v>
      </c>
      <c r="D421" s="16" t="s">
        <v>588</v>
      </c>
      <c r="E421" s="13" t="s">
        <v>259</v>
      </c>
      <c r="F421" s="15">
        <v>45134</v>
      </c>
      <c r="G421" s="13" t="s">
        <v>16</v>
      </c>
      <c r="H421" s="15"/>
      <c r="I421" s="13" t="s">
        <v>26</v>
      </c>
      <c r="J421" s="13" t="s">
        <v>18</v>
      </c>
      <c r="K421" s="16"/>
    </row>
    <row r="422" spans="1:11">
      <c r="A422" s="17">
        <f>_xlfn.AGGREGATE(3,1,$B$6:B422)</f>
        <v>417</v>
      </c>
      <c r="B422" s="18" t="s">
        <v>589</v>
      </c>
      <c r="C422" s="18" t="s">
        <v>47</v>
      </c>
      <c r="D422" s="21" t="s">
        <v>590</v>
      </c>
      <c r="E422" s="18" t="s">
        <v>30</v>
      </c>
      <c r="F422" s="20">
        <v>45140</v>
      </c>
      <c r="G422" s="18" t="s">
        <v>16</v>
      </c>
      <c r="H422" s="20"/>
      <c r="I422" s="18" t="s">
        <v>26</v>
      </c>
      <c r="J422" s="18" t="s">
        <v>18</v>
      </c>
      <c r="K422" s="21"/>
    </row>
    <row r="423" spans="1:11" ht="86.45">
      <c r="A423" s="12">
        <f>_xlfn.AGGREGATE(3,1,$B$6:B423)</f>
        <v>418</v>
      </c>
      <c r="B423" s="13" t="s">
        <v>589</v>
      </c>
      <c r="C423" s="13" t="s">
        <v>47</v>
      </c>
      <c r="D423" s="16" t="s">
        <v>591</v>
      </c>
      <c r="E423" s="13" t="s">
        <v>30</v>
      </c>
      <c r="F423" s="15">
        <v>45140</v>
      </c>
      <c r="G423" s="13" t="s">
        <v>20</v>
      </c>
      <c r="H423" s="15"/>
      <c r="I423" s="13" t="s">
        <v>26</v>
      </c>
      <c r="J423" s="13" t="s">
        <v>18</v>
      </c>
      <c r="K423" s="16"/>
    </row>
    <row r="424" spans="1:11" ht="28.9">
      <c r="A424" s="17">
        <f>_xlfn.AGGREGATE(3,1,$B$6:B424)</f>
        <v>419</v>
      </c>
      <c r="B424" s="18" t="s">
        <v>589</v>
      </c>
      <c r="C424" s="18" t="s">
        <v>47</v>
      </c>
      <c r="D424" s="21" t="s">
        <v>592</v>
      </c>
      <c r="E424" s="18" t="s">
        <v>330</v>
      </c>
      <c r="F424" s="20">
        <v>45140</v>
      </c>
      <c r="G424" s="18" t="s">
        <v>16</v>
      </c>
      <c r="H424" s="20"/>
      <c r="I424" s="18" t="s">
        <v>26</v>
      </c>
      <c r="J424" s="18" t="s">
        <v>18</v>
      </c>
      <c r="K424" s="21"/>
    </row>
    <row r="425" spans="1:11" ht="28.9">
      <c r="A425" s="12">
        <f>_xlfn.AGGREGATE(3,1,$B$6:B425)</f>
        <v>420</v>
      </c>
      <c r="B425" s="13" t="s">
        <v>589</v>
      </c>
      <c r="C425" s="13" t="s">
        <v>47</v>
      </c>
      <c r="D425" s="16" t="s">
        <v>593</v>
      </c>
      <c r="E425" s="13" t="s">
        <v>15</v>
      </c>
      <c r="F425" s="15">
        <v>45140</v>
      </c>
      <c r="G425" s="13" t="s">
        <v>20</v>
      </c>
      <c r="H425" s="15"/>
      <c r="I425" s="13" t="s">
        <v>26</v>
      </c>
      <c r="J425" s="13" t="s">
        <v>18</v>
      </c>
      <c r="K425" s="16" t="s">
        <v>528</v>
      </c>
    </row>
    <row r="426" spans="1:11">
      <c r="A426" s="17">
        <f>_xlfn.AGGREGATE(3,1,$B$6:B426)</f>
        <v>421</v>
      </c>
      <c r="B426" s="18" t="s">
        <v>589</v>
      </c>
      <c r="C426" s="18" t="s">
        <v>47</v>
      </c>
      <c r="D426" s="21" t="s">
        <v>594</v>
      </c>
      <c r="E426" s="18" t="s">
        <v>15</v>
      </c>
      <c r="F426" s="20">
        <v>45140</v>
      </c>
      <c r="G426" s="18" t="s">
        <v>16</v>
      </c>
      <c r="H426" s="20"/>
      <c r="I426" s="18" t="s">
        <v>26</v>
      </c>
      <c r="J426" s="18" t="s">
        <v>18</v>
      </c>
      <c r="K426" s="21" t="s">
        <v>528</v>
      </c>
    </row>
    <row r="427" spans="1:11" ht="28.9">
      <c r="A427" s="12">
        <f>_xlfn.AGGREGATE(3,1,$B$6:B427)</f>
        <v>422</v>
      </c>
      <c r="B427" s="13" t="s">
        <v>595</v>
      </c>
      <c r="C427" s="13" t="s">
        <v>596</v>
      </c>
      <c r="D427" s="16" t="s">
        <v>597</v>
      </c>
      <c r="E427" s="13" t="s">
        <v>393</v>
      </c>
      <c r="F427" s="15">
        <v>45154</v>
      </c>
      <c r="G427" s="13" t="s">
        <v>20</v>
      </c>
      <c r="H427" s="15"/>
      <c r="I427" s="13" t="s">
        <v>17</v>
      </c>
      <c r="J427" s="13" t="s">
        <v>18</v>
      </c>
      <c r="K427" s="16"/>
    </row>
    <row r="428" spans="1:11">
      <c r="A428" s="17">
        <f>_xlfn.AGGREGATE(3,1,$B$6:B428)</f>
        <v>423</v>
      </c>
      <c r="B428" s="18" t="s">
        <v>595</v>
      </c>
      <c r="C428" s="18" t="s">
        <v>47</v>
      </c>
      <c r="D428" s="21" t="s">
        <v>598</v>
      </c>
      <c r="E428" s="18" t="s">
        <v>159</v>
      </c>
      <c r="F428" s="20">
        <v>45154</v>
      </c>
      <c r="G428" s="18" t="s">
        <v>16</v>
      </c>
      <c r="H428" s="20"/>
      <c r="I428" s="18" t="s">
        <v>26</v>
      </c>
      <c r="J428" s="18" t="s">
        <v>18</v>
      </c>
      <c r="K428" s="21" t="s">
        <v>528</v>
      </c>
    </row>
    <row r="429" spans="1:11" ht="28.9">
      <c r="A429" s="12">
        <f>_xlfn.AGGREGATE(3,1,$B$6:B429)</f>
        <v>424</v>
      </c>
      <c r="B429" s="13" t="s">
        <v>595</v>
      </c>
      <c r="C429" s="13" t="s">
        <v>47</v>
      </c>
      <c r="D429" s="16" t="s">
        <v>553</v>
      </c>
      <c r="E429" s="13" t="s">
        <v>393</v>
      </c>
      <c r="F429" s="15">
        <v>45154</v>
      </c>
      <c r="G429" s="13" t="s">
        <v>16</v>
      </c>
      <c r="H429" s="15"/>
      <c r="I429" s="13" t="s">
        <v>26</v>
      </c>
      <c r="J429" s="13" t="s">
        <v>18</v>
      </c>
      <c r="K429" s="16"/>
    </row>
    <row r="430" spans="1:11" ht="72">
      <c r="A430" s="17">
        <f>_xlfn.AGGREGATE(3,1,$B$6:B430)</f>
        <v>425</v>
      </c>
      <c r="B430" s="18" t="s">
        <v>599</v>
      </c>
      <c r="C430" s="18" t="s">
        <v>70</v>
      </c>
      <c r="D430" s="21" t="s">
        <v>600</v>
      </c>
      <c r="E430" s="18" t="s">
        <v>382</v>
      </c>
      <c r="F430" s="20">
        <v>45155</v>
      </c>
      <c r="G430" s="18" t="s">
        <v>20</v>
      </c>
      <c r="H430" s="20"/>
      <c r="I430" s="18" t="s">
        <v>17</v>
      </c>
      <c r="J430" s="18" t="s">
        <v>18</v>
      </c>
      <c r="K430" s="21"/>
    </row>
    <row r="431" spans="1:11" ht="28.9">
      <c r="A431" s="12">
        <f>_xlfn.AGGREGATE(3,1,$B$6:B431)</f>
        <v>426</v>
      </c>
      <c r="B431" s="13" t="s">
        <v>599</v>
      </c>
      <c r="C431" s="13" t="s">
        <v>70</v>
      </c>
      <c r="D431" s="16" t="s">
        <v>601</v>
      </c>
      <c r="E431" s="13" t="s">
        <v>382</v>
      </c>
      <c r="F431" s="15">
        <v>45155</v>
      </c>
      <c r="G431" s="13" t="s">
        <v>16</v>
      </c>
      <c r="H431" s="15"/>
      <c r="I431" s="13" t="s">
        <v>17</v>
      </c>
      <c r="J431" s="13" t="s">
        <v>18</v>
      </c>
      <c r="K431" s="16"/>
    </row>
    <row r="432" spans="1:11" ht="43.15">
      <c r="A432" s="17">
        <f>_xlfn.AGGREGATE(3,1,$B$6:B432)</f>
        <v>427</v>
      </c>
      <c r="B432" s="18" t="s">
        <v>599</v>
      </c>
      <c r="C432" s="18" t="s">
        <v>320</v>
      </c>
      <c r="D432" s="21" t="s">
        <v>602</v>
      </c>
      <c r="E432" s="18" t="s">
        <v>386</v>
      </c>
      <c r="F432" s="20">
        <v>45155</v>
      </c>
      <c r="G432" s="18" t="s">
        <v>20</v>
      </c>
      <c r="H432" s="20"/>
      <c r="I432" s="18" t="s">
        <v>17</v>
      </c>
      <c r="J432" s="18" t="s">
        <v>18</v>
      </c>
      <c r="K432" s="21"/>
    </row>
    <row r="433" spans="1:11" ht="57.6">
      <c r="A433" s="12">
        <f>_xlfn.AGGREGATE(3,1,$B$6:B433)</f>
        <v>428</v>
      </c>
      <c r="B433" s="13" t="s">
        <v>599</v>
      </c>
      <c r="C433" s="13" t="s">
        <v>563</v>
      </c>
      <c r="D433" s="16" t="s">
        <v>603</v>
      </c>
      <c r="E433" s="13" t="s">
        <v>355</v>
      </c>
      <c r="F433" s="15">
        <v>45155</v>
      </c>
      <c r="G433" s="13" t="s">
        <v>20</v>
      </c>
      <c r="H433" s="15"/>
      <c r="I433" s="13" t="s">
        <v>17</v>
      </c>
      <c r="J433" s="13" t="s">
        <v>18</v>
      </c>
      <c r="K433" s="16"/>
    </row>
    <row r="434" spans="1:11" ht="57.6">
      <c r="A434" s="17">
        <f>_xlfn.AGGREGATE(3,1,$B$6:B434)</f>
        <v>429</v>
      </c>
      <c r="B434" s="18" t="s">
        <v>599</v>
      </c>
      <c r="C434" s="18" t="s">
        <v>437</v>
      </c>
      <c r="D434" s="21" t="s">
        <v>604</v>
      </c>
      <c r="E434" s="18" t="s">
        <v>355</v>
      </c>
      <c r="F434" s="20">
        <v>45155</v>
      </c>
      <c r="G434" s="18" t="s">
        <v>20</v>
      </c>
      <c r="H434" s="20"/>
      <c r="I434" s="18" t="s">
        <v>17</v>
      </c>
      <c r="J434" s="18" t="s">
        <v>18</v>
      </c>
      <c r="K434" s="21"/>
    </row>
    <row r="435" spans="1:11" ht="57.6">
      <c r="A435" s="12">
        <f>_xlfn.AGGREGATE(3,1,$B$6:B435)</f>
        <v>430</v>
      </c>
      <c r="B435" s="13" t="s">
        <v>599</v>
      </c>
      <c r="C435" s="13" t="s">
        <v>361</v>
      </c>
      <c r="D435" s="16" t="s">
        <v>604</v>
      </c>
      <c r="E435" s="13" t="s">
        <v>355</v>
      </c>
      <c r="F435" s="15">
        <v>45155</v>
      </c>
      <c r="G435" s="13" t="s">
        <v>20</v>
      </c>
      <c r="H435" s="15"/>
      <c r="I435" s="13" t="s">
        <v>17</v>
      </c>
      <c r="J435" s="13" t="s">
        <v>18</v>
      </c>
      <c r="K435" s="16"/>
    </row>
    <row r="436" spans="1:11" ht="57.6">
      <c r="A436" s="17">
        <f>_xlfn.AGGREGATE(3,1,$B$6:B436)</f>
        <v>431</v>
      </c>
      <c r="B436" s="18" t="s">
        <v>599</v>
      </c>
      <c r="C436" s="18" t="s">
        <v>47</v>
      </c>
      <c r="D436" s="22" t="s">
        <v>605</v>
      </c>
      <c r="E436" s="18" t="s">
        <v>386</v>
      </c>
      <c r="F436" s="20">
        <v>45155</v>
      </c>
      <c r="G436" s="18" t="s">
        <v>16</v>
      </c>
      <c r="H436" s="20"/>
      <c r="I436" s="18" t="s">
        <v>26</v>
      </c>
      <c r="J436" s="18" t="s">
        <v>18</v>
      </c>
      <c r="K436" s="21" t="s">
        <v>606</v>
      </c>
    </row>
    <row r="437" spans="1:11">
      <c r="A437" s="12">
        <f>_xlfn.AGGREGATE(3,1,$B$6:B437)</f>
        <v>432</v>
      </c>
      <c r="B437" s="13" t="s">
        <v>607</v>
      </c>
      <c r="C437" s="13" t="s">
        <v>47</v>
      </c>
      <c r="D437" s="16" t="s">
        <v>608</v>
      </c>
      <c r="E437" s="13" t="s">
        <v>183</v>
      </c>
      <c r="F437" s="15">
        <v>45163</v>
      </c>
      <c r="G437" s="13" t="s">
        <v>20</v>
      </c>
      <c r="H437" s="15"/>
      <c r="I437" s="13" t="s">
        <v>26</v>
      </c>
      <c r="J437" s="13" t="s">
        <v>18</v>
      </c>
      <c r="K437" s="16" t="s">
        <v>609</v>
      </c>
    </row>
    <row r="438" spans="1:11" ht="28.9">
      <c r="A438" s="17">
        <f>_xlfn.AGGREGATE(3,1,$B$6:B438)</f>
        <v>433</v>
      </c>
      <c r="B438" s="18" t="s">
        <v>607</v>
      </c>
      <c r="C438" s="18" t="s">
        <v>47</v>
      </c>
      <c r="D438" s="21" t="s">
        <v>610</v>
      </c>
      <c r="E438" s="18" t="s">
        <v>183</v>
      </c>
      <c r="F438" s="20">
        <v>45163</v>
      </c>
      <c r="G438" s="18" t="s">
        <v>20</v>
      </c>
      <c r="H438" s="20"/>
      <c r="I438" s="18" t="s">
        <v>26</v>
      </c>
      <c r="J438" s="18" t="s">
        <v>18</v>
      </c>
      <c r="K438" s="21" t="s">
        <v>609</v>
      </c>
    </row>
    <row r="439" spans="1:11" ht="43.15">
      <c r="A439" s="12">
        <f>_xlfn.AGGREGATE(3,1,$B$6:B439)</f>
        <v>434</v>
      </c>
      <c r="B439" s="13" t="s">
        <v>607</v>
      </c>
      <c r="C439" s="13" t="s">
        <v>47</v>
      </c>
      <c r="D439" s="16" t="s">
        <v>611</v>
      </c>
      <c r="E439" s="13" t="s">
        <v>183</v>
      </c>
      <c r="F439" s="15">
        <v>45163</v>
      </c>
      <c r="G439" s="13" t="s">
        <v>16</v>
      </c>
      <c r="H439" s="15"/>
      <c r="I439" s="13" t="s">
        <v>26</v>
      </c>
      <c r="J439" s="13" t="s">
        <v>18</v>
      </c>
      <c r="K439" s="16" t="s">
        <v>612</v>
      </c>
    </row>
    <row r="440" spans="1:11" ht="86.45">
      <c r="A440" s="17">
        <f>_xlfn.AGGREGATE(3,1,$B$6:B440)</f>
        <v>435</v>
      </c>
      <c r="B440" s="18" t="s">
        <v>613</v>
      </c>
      <c r="C440" s="18" t="s">
        <v>47</v>
      </c>
      <c r="D440" s="21" t="s">
        <v>614</v>
      </c>
      <c r="E440" s="18" t="s">
        <v>38</v>
      </c>
      <c r="F440" s="20">
        <v>45166</v>
      </c>
      <c r="G440" s="18" t="s">
        <v>20</v>
      </c>
      <c r="H440" s="20"/>
      <c r="I440" s="18" t="s">
        <v>17</v>
      </c>
      <c r="J440" s="18" t="s">
        <v>18</v>
      </c>
      <c r="K440" s="21"/>
    </row>
    <row r="441" spans="1:11" ht="57.6">
      <c r="A441" s="12">
        <f>_xlfn.AGGREGATE(3,1,$B$6:B441)</f>
        <v>436</v>
      </c>
      <c r="B441" s="13" t="s">
        <v>613</v>
      </c>
      <c r="C441" s="13" t="s">
        <v>164</v>
      </c>
      <c r="D441" s="16" t="s">
        <v>615</v>
      </c>
      <c r="E441" s="13" t="s">
        <v>38</v>
      </c>
      <c r="F441" s="15">
        <v>45166</v>
      </c>
      <c r="G441" s="13" t="s">
        <v>20</v>
      </c>
      <c r="H441" s="15"/>
      <c r="I441" s="13" t="s">
        <v>17</v>
      </c>
      <c r="J441" s="13" t="s">
        <v>18</v>
      </c>
      <c r="K441" s="16"/>
    </row>
    <row r="442" spans="1:11" ht="57.6">
      <c r="A442" s="17">
        <f>_xlfn.AGGREGATE(3,1,$B$6:B442)</f>
        <v>437</v>
      </c>
      <c r="B442" s="18" t="s">
        <v>613</v>
      </c>
      <c r="C442" s="18" t="s">
        <v>70</v>
      </c>
      <c r="D442" s="21" t="s">
        <v>616</v>
      </c>
      <c r="E442" s="18" t="s">
        <v>42</v>
      </c>
      <c r="F442" s="20">
        <v>45166</v>
      </c>
      <c r="G442" s="18" t="s">
        <v>20</v>
      </c>
      <c r="H442" s="20"/>
      <c r="I442" s="18" t="s">
        <v>17</v>
      </c>
      <c r="J442" s="18" t="s">
        <v>18</v>
      </c>
      <c r="K442" s="21"/>
    </row>
    <row r="443" spans="1:11">
      <c r="A443" s="12">
        <f>_xlfn.AGGREGATE(3,1,$B$6:B443)</f>
        <v>438</v>
      </c>
      <c r="B443" s="13" t="s">
        <v>613</v>
      </c>
      <c r="C443" s="13" t="s">
        <v>563</v>
      </c>
      <c r="D443" s="16" t="s">
        <v>337</v>
      </c>
      <c r="E443" s="13" t="s">
        <v>355</v>
      </c>
      <c r="F443" s="15">
        <v>45166</v>
      </c>
      <c r="G443" s="13" t="s">
        <v>16</v>
      </c>
      <c r="H443" s="15"/>
      <c r="I443" s="13" t="s">
        <v>17</v>
      </c>
      <c r="J443" s="13" t="s">
        <v>18</v>
      </c>
      <c r="K443" s="16"/>
    </row>
    <row r="444" spans="1:11" ht="100.9">
      <c r="A444" s="17">
        <f>_xlfn.AGGREGATE(3,1,$B$6:B444)</f>
        <v>439</v>
      </c>
      <c r="B444" s="18" t="s">
        <v>613</v>
      </c>
      <c r="C444" s="18" t="s">
        <v>563</v>
      </c>
      <c r="D444" s="21" t="s">
        <v>617</v>
      </c>
      <c r="E444" s="18" t="s">
        <v>355</v>
      </c>
      <c r="F444" s="20">
        <v>45166</v>
      </c>
      <c r="G444" s="18" t="s">
        <v>20</v>
      </c>
      <c r="H444" s="20"/>
      <c r="I444" s="18" t="s">
        <v>17</v>
      </c>
      <c r="J444" s="18" t="s">
        <v>18</v>
      </c>
      <c r="K444" s="21"/>
    </row>
    <row r="445" spans="1:11" ht="72">
      <c r="A445" s="12">
        <f>_xlfn.AGGREGATE(3,1,$B$6:B445)</f>
        <v>440</v>
      </c>
      <c r="B445" s="13" t="s">
        <v>613</v>
      </c>
      <c r="C445" s="13" t="s">
        <v>502</v>
      </c>
      <c r="D445" s="16" t="s">
        <v>618</v>
      </c>
      <c r="E445" s="13" t="s">
        <v>355</v>
      </c>
      <c r="F445" s="15">
        <v>45166</v>
      </c>
      <c r="G445" s="13" t="s">
        <v>20</v>
      </c>
      <c r="H445" s="15"/>
      <c r="I445" s="13" t="s">
        <v>17</v>
      </c>
      <c r="J445" s="13" t="s">
        <v>18</v>
      </c>
      <c r="K445" s="16"/>
    </row>
    <row r="446" spans="1:11" ht="72">
      <c r="A446" s="17">
        <f>_xlfn.AGGREGATE(3,1,$B$6:B446)</f>
        <v>441</v>
      </c>
      <c r="B446" s="18" t="s">
        <v>613</v>
      </c>
      <c r="C446" s="18" t="s">
        <v>437</v>
      </c>
      <c r="D446" s="21" t="s">
        <v>618</v>
      </c>
      <c r="E446" s="18" t="s">
        <v>355</v>
      </c>
      <c r="F446" s="20">
        <v>45166</v>
      </c>
      <c r="G446" s="18" t="s">
        <v>20</v>
      </c>
      <c r="H446" s="20"/>
      <c r="I446" s="18" t="s">
        <v>17</v>
      </c>
      <c r="J446" s="18" t="s">
        <v>18</v>
      </c>
      <c r="K446" s="21"/>
    </row>
    <row r="447" spans="1:11" ht="57.6">
      <c r="A447" s="12">
        <f>_xlfn.AGGREGATE(3,1,$B$6:B447)</f>
        <v>442</v>
      </c>
      <c r="B447" s="13" t="s">
        <v>619</v>
      </c>
      <c r="C447" s="13" t="s">
        <v>75</v>
      </c>
      <c r="D447" s="16" t="s">
        <v>620</v>
      </c>
      <c r="E447" s="13" t="s">
        <v>411</v>
      </c>
      <c r="F447" s="15">
        <v>45169</v>
      </c>
      <c r="G447" s="13" t="s">
        <v>20</v>
      </c>
      <c r="H447" s="15"/>
      <c r="I447" s="13" t="s">
        <v>17</v>
      </c>
      <c r="J447" s="13" t="s">
        <v>18</v>
      </c>
      <c r="K447" s="16"/>
    </row>
    <row r="448" spans="1:11" ht="115.15">
      <c r="A448" s="17">
        <f>_xlfn.AGGREGATE(3,1,$B$6:B448)</f>
        <v>443</v>
      </c>
      <c r="B448" s="18" t="s">
        <v>619</v>
      </c>
      <c r="C448" s="18" t="s">
        <v>47</v>
      </c>
      <c r="D448" s="21" t="s">
        <v>621</v>
      </c>
      <c r="E448" s="18" t="s">
        <v>411</v>
      </c>
      <c r="F448" s="20">
        <v>45169</v>
      </c>
      <c r="G448" s="18" t="s">
        <v>20</v>
      </c>
      <c r="H448" s="20"/>
      <c r="I448" s="18" t="s">
        <v>26</v>
      </c>
      <c r="J448" s="18" t="s">
        <v>18</v>
      </c>
      <c r="K448" s="21" t="s">
        <v>622</v>
      </c>
    </row>
    <row r="449" spans="1:11" ht="28.9">
      <c r="A449" s="12">
        <f>_xlfn.AGGREGATE(3,1,$B$6:B449)</f>
        <v>444</v>
      </c>
      <c r="B449" s="13" t="s">
        <v>619</v>
      </c>
      <c r="C449" s="13" t="s">
        <v>47</v>
      </c>
      <c r="D449" s="16" t="s">
        <v>623</v>
      </c>
      <c r="E449" s="13" t="s">
        <v>411</v>
      </c>
      <c r="F449" s="15">
        <v>45169</v>
      </c>
      <c r="G449" s="13" t="s">
        <v>20</v>
      </c>
      <c r="H449" s="15"/>
      <c r="I449" s="13" t="s">
        <v>26</v>
      </c>
      <c r="J449" s="13" t="s">
        <v>18</v>
      </c>
      <c r="K449" s="16" t="s">
        <v>528</v>
      </c>
    </row>
    <row r="450" spans="1:11" ht="43.15">
      <c r="A450" s="17">
        <f>_xlfn.AGGREGATE(3,1,$B$6:B450)</f>
        <v>445</v>
      </c>
      <c r="B450" s="18" t="s">
        <v>619</v>
      </c>
      <c r="C450" s="18" t="s">
        <v>47</v>
      </c>
      <c r="D450" s="21" t="s">
        <v>624</v>
      </c>
      <c r="E450" s="18" t="s">
        <v>411</v>
      </c>
      <c r="F450" s="20">
        <v>45169</v>
      </c>
      <c r="G450" s="18" t="s">
        <v>16</v>
      </c>
      <c r="H450" s="20"/>
      <c r="I450" s="18" t="s">
        <v>26</v>
      </c>
      <c r="J450" s="18" t="s">
        <v>18</v>
      </c>
      <c r="K450" s="21" t="s">
        <v>528</v>
      </c>
    </row>
    <row r="451" spans="1:11">
      <c r="A451" s="12">
        <f>_xlfn.AGGREGATE(3,1,$B$6:B451)</f>
        <v>446</v>
      </c>
      <c r="B451" s="13" t="s">
        <v>619</v>
      </c>
      <c r="C451" s="13" t="s">
        <v>47</v>
      </c>
      <c r="D451" s="16" t="s">
        <v>625</v>
      </c>
      <c r="E451" s="13" t="s">
        <v>411</v>
      </c>
      <c r="F451" s="15">
        <v>45169</v>
      </c>
      <c r="G451" s="13" t="s">
        <v>16</v>
      </c>
      <c r="H451" s="15"/>
      <c r="I451" s="13" t="s">
        <v>26</v>
      </c>
      <c r="J451" s="13" t="s">
        <v>18</v>
      </c>
      <c r="K451" s="16" t="s">
        <v>528</v>
      </c>
    </row>
    <row r="452" spans="1:11" ht="57.6">
      <c r="A452" s="17">
        <f>_xlfn.AGGREGATE(3,1,$B$6:B452)</f>
        <v>447</v>
      </c>
      <c r="B452" s="18" t="s">
        <v>626</v>
      </c>
      <c r="C452" s="18" t="s">
        <v>144</v>
      </c>
      <c r="D452" s="21" t="s">
        <v>627</v>
      </c>
      <c r="E452" s="18" t="s">
        <v>183</v>
      </c>
      <c r="F452" s="20">
        <v>45181</v>
      </c>
      <c r="G452" s="18" t="s">
        <v>20</v>
      </c>
      <c r="H452" s="20"/>
      <c r="I452" s="18" t="s">
        <v>17</v>
      </c>
      <c r="J452" s="18" t="s">
        <v>18</v>
      </c>
      <c r="K452" s="21"/>
    </row>
    <row r="453" spans="1:11" ht="57.6">
      <c r="A453" s="12">
        <f>_xlfn.AGGREGATE(3,1,$B$6:B453)</f>
        <v>448</v>
      </c>
      <c r="B453" s="13" t="s">
        <v>626</v>
      </c>
      <c r="C453" s="13" t="s">
        <v>144</v>
      </c>
      <c r="D453" s="16" t="s">
        <v>628</v>
      </c>
      <c r="E453" s="13" t="s">
        <v>183</v>
      </c>
      <c r="F453" s="15">
        <v>45181</v>
      </c>
      <c r="G453" s="13" t="s">
        <v>16</v>
      </c>
      <c r="H453" s="15"/>
      <c r="I453" s="13" t="s">
        <v>17</v>
      </c>
      <c r="J453" s="13" t="s">
        <v>18</v>
      </c>
      <c r="K453" s="16"/>
    </row>
    <row r="454" spans="1:11" ht="43.15">
      <c r="A454" s="17">
        <f>_xlfn.AGGREGATE(3,1,$B$6:B454)</f>
        <v>449</v>
      </c>
      <c r="B454" s="18" t="s">
        <v>626</v>
      </c>
      <c r="C454" s="18" t="s">
        <v>40</v>
      </c>
      <c r="D454" s="21" t="s">
        <v>629</v>
      </c>
      <c r="E454" s="18" t="s">
        <v>183</v>
      </c>
      <c r="F454" s="20">
        <v>45181</v>
      </c>
      <c r="G454" s="18" t="s">
        <v>20</v>
      </c>
      <c r="H454" s="20"/>
      <c r="I454" s="18" t="s">
        <v>17</v>
      </c>
      <c r="J454" s="18" t="s">
        <v>18</v>
      </c>
      <c r="K454" s="21"/>
    </row>
    <row r="455" spans="1:11" ht="43.15">
      <c r="A455" s="12">
        <f>_xlfn.AGGREGATE(3,1,$B$6:B455)</f>
        <v>450</v>
      </c>
      <c r="B455" s="13" t="s">
        <v>626</v>
      </c>
      <c r="C455" s="13" t="s">
        <v>40</v>
      </c>
      <c r="D455" s="16" t="s">
        <v>630</v>
      </c>
      <c r="E455" s="13" t="s">
        <v>183</v>
      </c>
      <c r="F455" s="15">
        <v>45181</v>
      </c>
      <c r="G455" s="13" t="s">
        <v>20</v>
      </c>
      <c r="H455" s="15"/>
      <c r="I455" s="13" t="s">
        <v>17</v>
      </c>
      <c r="J455" s="13" t="s">
        <v>18</v>
      </c>
      <c r="K455" s="16"/>
    </row>
    <row r="456" spans="1:11" ht="57.6">
      <c r="A456" s="17">
        <f>_xlfn.AGGREGATE(3,1,$B$6:B456)</f>
        <v>451</v>
      </c>
      <c r="B456" s="18" t="s">
        <v>626</v>
      </c>
      <c r="C456" s="18" t="s">
        <v>47</v>
      </c>
      <c r="D456" s="21" t="s">
        <v>631</v>
      </c>
      <c r="E456" s="18" t="s">
        <v>183</v>
      </c>
      <c r="F456" s="20">
        <v>45181</v>
      </c>
      <c r="G456" s="18" t="s">
        <v>16</v>
      </c>
      <c r="H456" s="20"/>
      <c r="I456" s="18" t="s">
        <v>26</v>
      </c>
      <c r="J456" s="18" t="s">
        <v>18</v>
      </c>
      <c r="K456" s="21" t="s">
        <v>632</v>
      </c>
    </row>
    <row r="457" spans="1:11" ht="57.6">
      <c r="A457" s="12">
        <f>_xlfn.AGGREGATE(3,1,$B$6:B457)</f>
        <v>452</v>
      </c>
      <c r="B457" s="13" t="s">
        <v>626</v>
      </c>
      <c r="C457" s="13" t="s">
        <v>47</v>
      </c>
      <c r="D457" s="16" t="s">
        <v>633</v>
      </c>
      <c r="E457" s="13" t="s">
        <v>183</v>
      </c>
      <c r="F457" s="15">
        <v>45181</v>
      </c>
      <c r="G457" s="13" t="s">
        <v>20</v>
      </c>
      <c r="H457" s="15"/>
      <c r="I457" s="13" t="s">
        <v>26</v>
      </c>
      <c r="J457" s="13" t="s">
        <v>18</v>
      </c>
      <c r="K457" s="16" t="s">
        <v>634</v>
      </c>
    </row>
    <row r="458" spans="1:11" ht="28.9">
      <c r="A458" s="17">
        <f>_xlfn.AGGREGATE(3,1,$B$6:B458)</f>
        <v>453</v>
      </c>
      <c r="B458" s="18" t="s">
        <v>635</v>
      </c>
      <c r="C458" s="18" t="s">
        <v>111</v>
      </c>
      <c r="D458" s="21" t="s">
        <v>636</v>
      </c>
      <c r="E458" s="18" t="s">
        <v>382</v>
      </c>
      <c r="F458" s="20">
        <v>45181</v>
      </c>
      <c r="G458" s="18" t="s">
        <v>20</v>
      </c>
      <c r="H458" s="20"/>
      <c r="I458" s="18" t="s">
        <v>17</v>
      </c>
      <c r="J458" s="18" t="s">
        <v>18</v>
      </c>
      <c r="K458" s="21"/>
    </row>
    <row r="459" spans="1:11" ht="28.9">
      <c r="A459" s="12">
        <f>_xlfn.AGGREGATE(3,1,$B$6:B459)</f>
        <v>454</v>
      </c>
      <c r="B459" s="13" t="s">
        <v>635</v>
      </c>
      <c r="C459" s="13" t="s">
        <v>45</v>
      </c>
      <c r="D459" s="16" t="s">
        <v>637</v>
      </c>
      <c r="E459" s="13" t="s">
        <v>386</v>
      </c>
      <c r="F459" s="15">
        <v>45181</v>
      </c>
      <c r="G459" s="13" t="s">
        <v>16</v>
      </c>
      <c r="H459" s="15"/>
      <c r="I459" s="13" t="s">
        <v>17</v>
      </c>
      <c r="J459" s="13" t="s">
        <v>18</v>
      </c>
      <c r="K459" s="16"/>
    </row>
    <row r="460" spans="1:11" ht="72">
      <c r="A460" s="17">
        <f>_xlfn.AGGREGATE(3,1,$B$6:B460)</f>
        <v>455</v>
      </c>
      <c r="B460" s="18" t="s">
        <v>635</v>
      </c>
      <c r="C460" s="18" t="s">
        <v>45</v>
      </c>
      <c r="D460" s="21" t="s">
        <v>638</v>
      </c>
      <c r="E460" s="18" t="s">
        <v>386</v>
      </c>
      <c r="F460" s="20">
        <v>45181</v>
      </c>
      <c r="G460" s="18" t="s">
        <v>16</v>
      </c>
      <c r="H460" s="20"/>
      <c r="I460" s="18" t="s">
        <v>17</v>
      </c>
      <c r="J460" s="18" t="s">
        <v>18</v>
      </c>
      <c r="K460" s="21"/>
    </row>
    <row r="461" spans="1:11" ht="43.15">
      <c r="A461" s="12">
        <f>_xlfn.AGGREGATE(3,1,$B$6:B461)</f>
        <v>456</v>
      </c>
      <c r="B461" s="13" t="s">
        <v>635</v>
      </c>
      <c r="C461" s="13" t="s">
        <v>111</v>
      </c>
      <c r="D461" s="16" t="s">
        <v>639</v>
      </c>
      <c r="E461" s="13" t="s">
        <v>382</v>
      </c>
      <c r="F461" s="15">
        <v>45181</v>
      </c>
      <c r="G461" s="13" t="s">
        <v>16</v>
      </c>
      <c r="H461" s="15"/>
      <c r="I461" s="13" t="s">
        <v>26</v>
      </c>
      <c r="J461" s="13" t="s">
        <v>18</v>
      </c>
      <c r="K461" s="16"/>
    </row>
    <row r="462" spans="1:11" ht="28.9">
      <c r="A462" s="17">
        <f>_xlfn.AGGREGATE(3,1,$B$6:B462)</f>
        <v>457</v>
      </c>
      <c r="B462" s="18" t="s">
        <v>635</v>
      </c>
      <c r="C462" s="18" t="s">
        <v>47</v>
      </c>
      <c r="D462" s="21" t="s">
        <v>640</v>
      </c>
      <c r="E462" s="18" t="s">
        <v>386</v>
      </c>
      <c r="F462" s="20">
        <v>45181</v>
      </c>
      <c r="G462" s="18" t="s">
        <v>16</v>
      </c>
      <c r="H462" s="20"/>
      <c r="I462" s="18" t="s">
        <v>26</v>
      </c>
      <c r="J462" s="18" t="s">
        <v>18</v>
      </c>
      <c r="K462" s="21" t="s">
        <v>568</v>
      </c>
    </row>
    <row r="463" spans="1:11" ht="43.15">
      <c r="A463" s="12">
        <f>_xlfn.AGGREGATE(3,1,$B$6:B463)</f>
        <v>458</v>
      </c>
      <c r="B463" s="13" t="s">
        <v>641</v>
      </c>
      <c r="C463" s="13" t="s">
        <v>596</v>
      </c>
      <c r="D463" s="16" t="s">
        <v>642</v>
      </c>
      <c r="E463" s="13" t="s">
        <v>393</v>
      </c>
      <c r="F463" s="15">
        <v>45183</v>
      </c>
      <c r="G463" s="13" t="s">
        <v>20</v>
      </c>
      <c r="H463" s="15"/>
      <c r="I463" s="13" t="s">
        <v>17</v>
      </c>
      <c r="J463" s="13" t="s">
        <v>18</v>
      </c>
      <c r="K463" s="16"/>
    </row>
    <row r="464" spans="1:11" ht="28.9">
      <c r="A464" s="17">
        <f>_xlfn.AGGREGATE(3,1,$B$6:B464)</f>
        <v>459</v>
      </c>
      <c r="B464" s="18" t="s">
        <v>641</v>
      </c>
      <c r="C464" s="18" t="s">
        <v>596</v>
      </c>
      <c r="D464" s="21" t="s">
        <v>643</v>
      </c>
      <c r="E464" s="18" t="s">
        <v>393</v>
      </c>
      <c r="F464" s="20">
        <v>45183</v>
      </c>
      <c r="G464" s="18" t="s">
        <v>20</v>
      </c>
      <c r="H464" s="20"/>
      <c r="I464" s="18" t="s">
        <v>17</v>
      </c>
      <c r="J464" s="18" t="s">
        <v>18</v>
      </c>
      <c r="K464" s="21"/>
    </row>
    <row r="465" spans="1:11" ht="43.15">
      <c r="A465" s="12">
        <f>_xlfn.AGGREGATE(3,1,$B$6:B465)</f>
        <v>460</v>
      </c>
      <c r="B465" s="13" t="s">
        <v>641</v>
      </c>
      <c r="C465" s="13" t="s">
        <v>47</v>
      </c>
      <c r="D465" s="16" t="s">
        <v>644</v>
      </c>
      <c r="E465" s="13" t="s">
        <v>393</v>
      </c>
      <c r="F465" s="15">
        <v>45183</v>
      </c>
      <c r="G465" s="13" t="s">
        <v>16</v>
      </c>
      <c r="H465" s="15"/>
      <c r="I465" s="13" t="s">
        <v>26</v>
      </c>
      <c r="J465" s="13" t="s">
        <v>18</v>
      </c>
      <c r="K465" s="16" t="s">
        <v>528</v>
      </c>
    </row>
    <row r="466" spans="1:11" ht="57.6">
      <c r="A466" s="17">
        <f>_xlfn.AGGREGATE(3,1,$B$6:B466)</f>
        <v>461</v>
      </c>
      <c r="B466" s="18" t="s">
        <v>641</v>
      </c>
      <c r="C466" s="18" t="s">
        <v>47</v>
      </c>
      <c r="D466" s="21" t="s">
        <v>645</v>
      </c>
      <c r="E466" s="18" t="s">
        <v>30</v>
      </c>
      <c r="F466" s="20">
        <v>45183</v>
      </c>
      <c r="G466" s="18" t="s">
        <v>16</v>
      </c>
      <c r="H466" s="20"/>
      <c r="I466" s="18" t="s">
        <v>26</v>
      </c>
      <c r="J466" s="18" t="s">
        <v>18</v>
      </c>
      <c r="K466" s="21" t="s">
        <v>528</v>
      </c>
    </row>
    <row r="467" spans="1:11" ht="43.15">
      <c r="A467" s="12">
        <f>_xlfn.AGGREGATE(3,1,$B$6:B467)</f>
        <v>462</v>
      </c>
      <c r="B467" s="13" t="s">
        <v>646</v>
      </c>
      <c r="C467" s="13" t="s">
        <v>157</v>
      </c>
      <c r="D467" s="16" t="s">
        <v>647</v>
      </c>
      <c r="E467" s="13" t="s">
        <v>648</v>
      </c>
      <c r="F467" s="15">
        <v>45187</v>
      </c>
      <c r="G467" s="13" t="s">
        <v>20</v>
      </c>
      <c r="H467" s="15"/>
      <c r="I467" s="13" t="s">
        <v>17</v>
      </c>
      <c r="J467" s="13" t="s">
        <v>18</v>
      </c>
      <c r="K467" s="16"/>
    </row>
    <row r="468" spans="1:11" ht="43.15">
      <c r="A468" s="17">
        <f>_xlfn.AGGREGATE(3,1,$B$6:B468)</f>
        <v>463</v>
      </c>
      <c r="B468" s="18" t="s">
        <v>646</v>
      </c>
      <c r="C468" s="18" t="s">
        <v>164</v>
      </c>
      <c r="D468" s="21" t="s">
        <v>649</v>
      </c>
      <c r="E468" s="18" t="s">
        <v>648</v>
      </c>
      <c r="F468" s="20">
        <v>45187</v>
      </c>
      <c r="G468" s="18" t="s">
        <v>20</v>
      </c>
      <c r="H468" s="20"/>
      <c r="I468" s="18" t="s">
        <v>17</v>
      </c>
      <c r="J468" s="18" t="s">
        <v>18</v>
      </c>
      <c r="K468" s="21"/>
    </row>
    <row r="469" spans="1:11" ht="43.15">
      <c r="A469" s="12">
        <f>_xlfn.AGGREGATE(3,1,$B$6:B469)</f>
        <v>464</v>
      </c>
      <c r="B469" s="13" t="s">
        <v>646</v>
      </c>
      <c r="C469" s="13" t="s">
        <v>123</v>
      </c>
      <c r="D469" s="16" t="s">
        <v>650</v>
      </c>
      <c r="E469" s="13" t="s">
        <v>648</v>
      </c>
      <c r="F469" s="15">
        <v>45187</v>
      </c>
      <c r="G469" s="13" t="s">
        <v>20</v>
      </c>
      <c r="H469" s="15"/>
      <c r="I469" s="13" t="s">
        <v>17</v>
      </c>
      <c r="J469" s="13" t="s">
        <v>18</v>
      </c>
      <c r="K469" s="16"/>
    </row>
    <row r="470" spans="1:11" ht="43.15">
      <c r="A470" s="17">
        <f>_xlfn.AGGREGATE(3,1,$B$6:B470)</f>
        <v>465</v>
      </c>
      <c r="B470" s="18" t="s">
        <v>646</v>
      </c>
      <c r="C470" s="18" t="s">
        <v>651</v>
      </c>
      <c r="D470" s="21" t="s">
        <v>652</v>
      </c>
      <c r="E470" s="18" t="s">
        <v>648</v>
      </c>
      <c r="F470" s="20">
        <v>45187</v>
      </c>
      <c r="G470" s="18" t="s">
        <v>16</v>
      </c>
      <c r="H470" s="20"/>
      <c r="I470" s="18" t="s">
        <v>17</v>
      </c>
      <c r="J470" s="18" t="s">
        <v>18</v>
      </c>
      <c r="K470" s="21"/>
    </row>
    <row r="471" spans="1:11" ht="43.15">
      <c r="A471" s="12">
        <f>_xlfn.AGGREGATE(3,1,$B$6:B471)</f>
        <v>466</v>
      </c>
      <c r="B471" s="13" t="s">
        <v>646</v>
      </c>
      <c r="C471" s="13" t="s">
        <v>93</v>
      </c>
      <c r="D471" s="16" t="s">
        <v>653</v>
      </c>
      <c r="E471" s="13" t="s">
        <v>648</v>
      </c>
      <c r="F471" s="15">
        <v>45187</v>
      </c>
      <c r="G471" s="13" t="s">
        <v>20</v>
      </c>
      <c r="H471" s="15"/>
      <c r="I471" s="13" t="s">
        <v>17</v>
      </c>
      <c r="J471" s="13" t="s">
        <v>18</v>
      </c>
      <c r="K471" s="16"/>
    </row>
    <row r="472" spans="1:11" ht="43.15">
      <c r="A472" s="17">
        <f>_xlfn.AGGREGATE(3,1,$B$6:B472)</f>
        <v>467</v>
      </c>
      <c r="B472" s="18" t="s">
        <v>646</v>
      </c>
      <c r="C472" s="18" t="s">
        <v>93</v>
      </c>
      <c r="D472" s="21" t="s">
        <v>654</v>
      </c>
      <c r="E472" s="18" t="s">
        <v>648</v>
      </c>
      <c r="F472" s="20">
        <v>45187</v>
      </c>
      <c r="G472" s="18" t="s">
        <v>20</v>
      </c>
      <c r="H472" s="20"/>
      <c r="I472" s="18" t="s">
        <v>17</v>
      </c>
      <c r="J472" s="18" t="s">
        <v>18</v>
      </c>
      <c r="K472" s="21"/>
    </row>
    <row r="473" spans="1:11" ht="43.15">
      <c r="A473" s="12">
        <f>_xlfn.AGGREGATE(3,1,$B$6:B473)</f>
        <v>468</v>
      </c>
      <c r="B473" s="13" t="s">
        <v>646</v>
      </c>
      <c r="C473" s="13" t="s">
        <v>596</v>
      </c>
      <c r="D473" s="16" t="s">
        <v>655</v>
      </c>
      <c r="E473" s="13" t="s">
        <v>648</v>
      </c>
      <c r="F473" s="15">
        <v>45187</v>
      </c>
      <c r="G473" s="13" t="s">
        <v>16</v>
      </c>
      <c r="H473" s="15"/>
      <c r="I473" s="13" t="s">
        <v>17</v>
      </c>
      <c r="J473" s="13" t="s">
        <v>18</v>
      </c>
      <c r="K473" s="16"/>
    </row>
    <row r="474" spans="1:11" ht="28.9">
      <c r="A474" s="17">
        <f>_xlfn.AGGREGATE(3,1,$B$6:B474)</f>
        <v>469</v>
      </c>
      <c r="B474" s="18" t="s">
        <v>646</v>
      </c>
      <c r="C474" s="18" t="s">
        <v>361</v>
      </c>
      <c r="D474" s="21" t="s">
        <v>656</v>
      </c>
      <c r="E474" s="18" t="s">
        <v>648</v>
      </c>
      <c r="F474" s="20">
        <v>45187</v>
      </c>
      <c r="G474" s="18" t="s">
        <v>16</v>
      </c>
      <c r="H474" s="20"/>
      <c r="I474" s="18" t="s">
        <v>17</v>
      </c>
      <c r="J474" s="18" t="s">
        <v>18</v>
      </c>
      <c r="K474" s="21"/>
    </row>
    <row r="475" spans="1:11" ht="43.15">
      <c r="A475" s="12">
        <f>_xlfn.AGGREGATE(3,1,$B$6:B475)</f>
        <v>470</v>
      </c>
      <c r="B475" s="13" t="s">
        <v>657</v>
      </c>
      <c r="C475" s="13" t="s">
        <v>40</v>
      </c>
      <c r="D475" s="16" t="s">
        <v>658</v>
      </c>
      <c r="E475" s="13" t="s">
        <v>648</v>
      </c>
      <c r="F475" s="15">
        <v>45190</v>
      </c>
      <c r="G475" s="13" t="s">
        <v>20</v>
      </c>
      <c r="H475" s="15"/>
      <c r="I475" s="13" t="s">
        <v>17</v>
      </c>
      <c r="J475" s="13" t="s">
        <v>18</v>
      </c>
      <c r="K475" s="16"/>
    </row>
    <row r="476" spans="1:11" ht="43.15">
      <c r="A476" s="17">
        <f>_xlfn.AGGREGATE(3,1,$B$6:B476)</f>
        <v>471</v>
      </c>
      <c r="B476" s="18" t="s">
        <v>657</v>
      </c>
      <c r="C476" s="18" t="s">
        <v>40</v>
      </c>
      <c r="D476" s="21" t="s">
        <v>659</v>
      </c>
      <c r="E476" s="18" t="s">
        <v>648</v>
      </c>
      <c r="F476" s="20">
        <v>45190</v>
      </c>
      <c r="G476" s="18" t="s">
        <v>20</v>
      </c>
      <c r="H476" s="20"/>
      <c r="I476" s="18" t="s">
        <v>17</v>
      </c>
      <c r="J476" s="18" t="s">
        <v>18</v>
      </c>
      <c r="K476" s="21"/>
    </row>
    <row r="477" spans="1:11">
      <c r="A477" s="12">
        <f>_xlfn.AGGREGATE(3,1,$B$6:B477)</f>
        <v>472</v>
      </c>
      <c r="B477" s="13" t="s">
        <v>660</v>
      </c>
      <c r="C477" s="13" t="s">
        <v>47</v>
      </c>
      <c r="D477" s="16" t="s">
        <v>322</v>
      </c>
      <c r="E477" s="13" t="s">
        <v>30</v>
      </c>
      <c r="F477" s="15">
        <v>45202</v>
      </c>
      <c r="G477" s="13" t="s">
        <v>16</v>
      </c>
      <c r="H477" s="15"/>
      <c r="I477" s="13" t="s">
        <v>26</v>
      </c>
      <c r="J477" s="13" t="s">
        <v>18</v>
      </c>
      <c r="K477" s="16" t="s">
        <v>528</v>
      </c>
    </row>
    <row r="478" spans="1:11" ht="28.9">
      <c r="A478" s="17">
        <f>_xlfn.AGGREGATE(3,1,$B$6:B478)</f>
        <v>473</v>
      </c>
      <c r="B478" s="18" t="s">
        <v>660</v>
      </c>
      <c r="C478" s="18" t="s">
        <v>47</v>
      </c>
      <c r="D478" s="21" t="s">
        <v>553</v>
      </c>
      <c r="E478" s="18" t="s">
        <v>393</v>
      </c>
      <c r="F478" s="20">
        <v>45202</v>
      </c>
      <c r="G478" s="18" t="s">
        <v>20</v>
      </c>
      <c r="H478" s="20"/>
      <c r="I478" s="18" t="s">
        <v>26</v>
      </c>
      <c r="J478" s="18" t="s">
        <v>18</v>
      </c>
      <c r="K478" s="21" t="s">
        <v>528</v>
      </c>
    </row>
    <row r="479" spans="1:11">
      <c r="A479" s="12">
        <f>_xlfn.AGGREGATE(3,1,$B$6:B479)</f>
        <v>474</v>
      </c>
      <c r="B479" s="13" t="s">
        <v>660</v>
      </c>
      <c r="C479" s="13" t="s">
        <v>47</v>
      </c>
      <c r="D479" s="16" t="s">
        <v>322</v>
      </c>
      <c r="E479" s="13" t="s">
        <v>393</v>
      </c>
      <c r="F479" s="15">
        <v>45202</v>
      </c>
      <c r="G479" s="13" t="s">
        <v>16</v>
      </c>
      <c r="H479" s="15"/>
      <c r="I479" s="13" t="s">
        <v>26</v>
      </c>
      <c r="J479" s="13" t="s">
        <v>18</v>
      </c>
      <c r="K479" s="16" t="s">
        <v>528</v>
      </c>
    </row>
    <row r="480" spans="1:11" ht="43.15">
      <c r="A480" s="17">
        <f>_xlfn.AGGREGATE(3,1,$B$6:B480)</f>
        <v>475</v>
      </c>
      <c r="B480" s="18" t="s">
        <v>661</v>
      </c>
      <c r="C480" s="18" t="s">
        <v>93</v>
      </c>
      <c r="D480" s="21" t="s">
        <v>662</v>
      </c>
      <c r="E480" s="18" t="s">
        <v>411</v>
      </c>
      <c r="F480" s="20">
        <v>45202</v>
      </c>
      <c r="G480" s="18" t="s">
        <v>20</v>
      </c>
      <c r="H480" s="20"/>
      <c r="I480" s="18" t="s">
        <v>17</v>
      </c>
      <c r="J480" s="18" t="s">
        <v>18</v>
      </c>
      <c r="K480" s="21"/>
    </row>
    <row r="481" spans="1:11" ht="43.15">
      <c r="A481" s="12">
        <f>_xlfn.AGGREGATE(3,1,$B$6:B481)</f>
        <v>476</v>
      </c>
      <c r="B481" s="13" t="s">
        <v>661</v>
      </c>
      <c r="C481" s="13" t="s">
        <v>93</v>
      </c>
      <c r="D481" s="16" t="s">
        <v>663</v>
      </c>
      <c r="E481" s="13" t="s">
        <v>411</v>
      </c>
      <c r="F481" s="15">
        <v>45202</v>
      </c>
      <c r="G481" s="13" t="s">
        <v>20</v>
      </c>
      <c r="H481" s="15"/>
      <c r="I481" s="13" t="s">
        <v>17</v>
      </c>
      <c r="J481" s="13" t="s">
        <v>18</v>
      </c>
      <c r="K481" s="16" t="s">
        <v>664</v>
      </c>
    </row>
    <row r="482" spans="1:11" ht="72">
      <c r="A482" s="17">
        <f>_xlfn.AGGREGATE(3,1,$B$6:B482)</f>
        <v>477</v>
      </c>
      <c r="B482" s="18" t="s">
        <v>661</v>
      </c>
      <c r="C482" s="18" t="s">
        <v>47</v>
      </c>
      <c r="D482" s="21" t="s">
        <v>665</v>
      </c>
      <c r="E482" s="18" t="s">
        <v>411</v>
      </c>
      <c r="F482" s="20">
        <v>45202</v>
      </c>
      <c r="G482" s="18" t="s">
        <v>16</v>
      </c>
      <c r="H482" s="20"/>
      <c r="I482" s="18" t="s">
        <v>26</v>
      </c>
      <c r="J482" s="18" t="s">
        <v>18</v>
      </c>
      <c r="K482" s="21" t="s">
        <v>528</v>
      </c>
    </row>
    <row r="483" spans="1:11" ht="28.9">
      <c r="A483" s="12">
        <f>_xlfn.AGGREGATE(3,1,$B$6:B483)</f>
        <v>478</v>
      </c>
      <c r="B483" s="13" t="s">
        <v>666</v>
      </c>
      <c r="C483" s="13" t="s">
        <v>116</v>
      </c>
      <c r="D483" s="16" t="s">
        <v>667</v>
      </c>
      <c r="E483" s="13" t="s">
        <v>401</v>
      </c>
      <c r="F483" s="15">
        <v>45205</v>
      </c>
      <c r="G483" s="13" t="s">
        <v>16</v>
      </c>
      <c r="H483" s="15"/>
      <c r="I483" s="13" t="s">
        <v>17</v>
      </c>
      <c r="J483" s="13" t="s">
        <v>18</v>
      </c>
      <c r="K483" s="16"/>
    </row>
    <row r="484" spans="1:11" ht="28.9">
      <c r="A484" s="17">
        <f>_xlfn.AGGREGATE(3,1,$B$6:B484)</f>
        <v>479</v>
      </c>
      <c r="B484" s="18" t="s">
        <v>666</v>
      </c>
      <c r="C484" s="18" t="s">
        <v>116</v>
      </c>
      <c r="D484" s="21" t="s">
        <v>668</v>
      </c>
      <c r="E484" s="18" t="s">
        <v>95</v>
      </c>
      <c r="F484" s="20">
        <v>45205</v>
      </c>
      <c r="G484" s="18" t="s">
        <v>20</v>
      </c>
      <c r="H484" s="20"/>
      <c r="I484" s="18" t="s">
        <v>17</v>
      </c>
      <c r="J484" s="18" t="s">
        <v>18</v>
      </c>
      <c r="K484" s="21" t="s">
        <v>669</v>
      </c>
    </row>
    <row r="485" spans="1:11" ht="28.9">
      <c r="A485" s="12">
        <f>_xlfn.AGGREGATE(3,1,$B$6:B485)</f>
        <v>480</v>
      </c>
      <c r="B485" s="13" t="s">
        <v>666</v>
      </c>
      <c r="C485" s="13" t="s">
        <v>116</v>
      </c>
      <c r="D485" s="16" t="s">
        <v>670</v>
      </c>
      <c r="E485" s="13" t="s">
        <v>95</v>
      </c>
      <c r="F485" s="15">
        <v>45205</v>
      </c>
      <c r="G485" s="13" t="s">
        <v>16</v>
      </c>
      <c r="H485" s="15"/>
      <c r="I485" s="13" t="s">
        <v>17</v>
      </c>
      <c r="J485" s="13" t="s">
        <v>18</v>
      </c>
      <c r="K485" s="16"/>
    </row>
    <row r="486" spans="1:11" ht="28.9">
      <c r="A486" s="17">
        <f>_xlfn.AGGREGATE(3,1,$B$6:B486)</f>
        <v>481</v>
      </c>
      <c r="B486" s="18" t="s">
        <v>666</v>
      </c>
      <c r="C486" s="18" t="s">
        <v>116</v>
      </c>
      <c r="D486" s="21" t="s">
        <v>585</v>
      </c>
      <c r="E486" s="18" t="s">
        <v>95</v>
      </c>
      <c r="F486" s="20">
        <v>45205</v>
      </c>
      <c r="G486" s="18" t="s">
        <v>16</v>
      </c>
      <c r="H486" s="20"/>
      <c r="I486" s="18" t="s">
        <v>17</v>
      </c>
      <c r="J486" s="18" t="s">
        <v>18</v>
      </c>
      <c r="K486" s="21" t="s">
        <v>671</v>
      </c>
    </row>
    <row r="487" spans="1:11">
      <c r="A487" s="12">
        <f>_xlfn.AGGREGATE(3,1,$B$6:B487)</f>
        <v>482</v>
      </c>
      <c r="B487" s="13" t="s">
        <v>666</v>
      </c>
      <c r="C487" s="13" t="s">
        <v>47</v>
      </c>
      <c r="D487" s="16" t="s">
        <v>672</v>
      </c>
      <c r="E487" s="13" t="s">
        <v>401</v>
      </c>
      <c r="F487" s="15">
        <v>45205</v>
      </c>
      <c r="G487" s="13" t="s">
        <v>16</v>
      </c>
      <c r="H487" s="15"/>
      <c r="I487" s="13" t="s">
        <v>26</v>
      </c>
      <c r="J487" s="13" t="s">
        <v>18</v>
      </c>
      <c r="K487" s="16"/>
    </row>
    <row r="488" spans="1:11" ht="28.9">
      <c r="A488" s="17">
        <f>_xlfn.AGGREGATE(3,1,$B$6:B488)</f>
        <v>483</v>
      </c>
      <c r="B488" s="18" t="s">
        <v>666</v>
      </c>
      <c r="C488" s="18" t="s">
        <v>13</v>
      </c>
      <c r="D488" s="21" t="s">
        <v>673</v>
      </c>
      <c r="E488" s="18" t="s">
        <v>401</v>
      </c>
      <c r="F488" s="20">
        <v>45205</v>
      </c>
      <c r="G488" s="18" t="s">
        <v>20</v>
      </c>
      <c r="H488" s="20"/>
      <c r="I488" s="18" t="s">
        <v>26</v>
      </c>
      <c r="J488" s="18" t="s">
        <v>18</v>
      </c>
      <c r="K488" s="21"/>
    </row>
    <row r="489" spans="1:11" ht="28.9">
      <c r="A489" s="12">
        <f>_xlfn.AGGREGATE(3,1,$B$6:B489)</f>
        <v>484</v>
      </c>
      <c r="B489" s="13" t="s">
        <v>666</v>
      </c>
      <c r="C489" s="13" t="s">
        <v>116</v>
      </c>
      <c r="D489" s="16" t="s">
        <v>674</v>
      </c>
      <c r="E489" s="13" t="s">
        <v>95</v>
      </c>
      <c r="F489" s="15">
        <v>45205</v>
      </c>
      <c r="G489" s="13" t="s">
        <v>20</v>
      </c>
      <c r="H489" s="15"/>
      <c r="I489" s="13" t="s">
        <v>26</v>
      </c>
      <c r="J489" s="13" t="s">
        <v>18</v>
      </c>
      <c r="K489" s="16"/>
    </row>
    <row r="490" spans="1:11" ht="43.15">
      <c r="A490" s="17">
        <f>_xlfn.AGGREGATE(3,1,$B$6:B490)</f>
        <v>485</v>
      </c>
      <c r="B490" s="18" t="s">
        <v>675</v>
      </c>
      <c r="C490" s="18" t="s">
        <v>676</v>
      </c>
      <c r="D490" s="21" t="s">
        <v>677</v>
      </c>
      <c r="E490" s="18" t="s">
        <v>355</v>
      </c>
      <c r="F490" s="20">
        <v>45208</v>
      </c>
      <c r="G490" s="18" t="s">
        <v>77</v>
      </c>
      <c r="H490" s="20"/>
      <c r="I490" s="18" t="s">
        <v>17</v>
      </c>
      <c r="J490" s="18" t="s">
        <v>18</v>
      </c>
      <c r="K490" s="21" t="s">
        <v>678</v>
      </c>
    </row>
    <row r="491" spans="1:11" ht="115.15">
      <c r="A491" s="12">
        <f>_xlfn.AGGREGATE(3,1,$B$6:B491)</f>
        <v>486</v>
      </c>
      <c r="B491" s="13" t="s">
        <v>675</v>
      </c>
      <c r="C491" s="13" t="s">
        <v>47</v>
      </c>
      <c r="D491" s="16" t="s">
        <v>679</v>
      </c>
      <c r="E491" s="13" t="s">
        <v>355</v>
      </c>
      <c r="F491" s="15">
        <v>45208</v>
      </c>
      <c r="G491" s="13" t="s">
        <v>20</v>
      </c>
      <c r="H491" s="15"/>
      <c r="I491" s="13" t="s">
        <v>26</v>
      </c>
      <c r="J491" s="13" t="s">
        <v>18</v>
      </c>
      <c r="K491" s="16"/>
    </row>
    <row r="492" spans="1:11" ht="57.6">
      <c r="A492" s="17">
        <f>_xlfn.AGGREGATE(3,1,$B$6:B492)</f>
        <v>487</v>
      </c>
      <c r="B492" s="18" t="s">
        <v>675</v>
      </c>
      <c r="C492" s="18" t="s">
        <v>47</v>
      </c>
      <c r="D492" s="21" t="s">
        <v>680</v>
      </c>
      <c r="E492" s="18" t="s">
        <v>355</v>
      </c>
      <c r="F492" s="20">
        <v>45208</v>
      </c>
      <c r="G492" s="18" t="s">
        <v>16</v>
      </c>
      <c r="H492" s="20"/>
      <c r="I492" s="18" t="s">
        <v>26</v>
      </c>
      <c r="J492" s="18" t="s">
        <v>18</v>
      </c>
      <c r="K492" s="21"/>
    </row>
    <row r="493" spans="1:11" ht="43.15">
      <c r="A493" s="12">
        <f>_xlfn.AGGREGATE(3,1,$B$6:B493)</f>
        <v>488</v>
      </c>
      <c r="B493" s="13" t="s">
        <v>675</v>
      </c>
      <c r="C493" s="13" t="s">
        <v>47</v>
      </c>
      <c r="D493" s="16" t="s">
        <v>681</v>
      </c>
      <c r="E493" s="13" t="s">
        <v>355</v>
      </c>
      <c r="F493" s="15">
        <v>45208</v>
      </c>
      <c r="G493" s="13" t="s">
        <v>77</v>
      </c>
      <c r="H493" s="15"/>
      <c r="I493" s="13" t="s">
        <v>26</v>
      </c>
      <c r="J493" s="13" t="s">
        <v>18</v>
      </c>
      <c r="K493" s="16"/>
    </row>
    <row r="494" spans="1:11" ht="57.6">
      <c r="A494" s="17">
        <f>_xlfn.AGGREGATE(3,1,$B$6:B494)</f>
        <v>489</v>
      </c>
      <c r="B494" s="18" t="s">
        <v>682</v>
      </c>
      <c r="C494" s="18" t="s">
        <v>47</v>
      </c>
      <c r="D494" s="21" t="s">
        <v>683</v>
      </c>
      <c r="E494" s="18" t="s">
        <v>183</v>
      </c>
      <c r="F494" s="20">
        <v>45211</v>
      </c>
      <c r="G494" s="18" t="s">
        <v>16</v>
      </c>
      <c r="H494" s="20"/>
      <c r="I494" s="18" t="s">
        <v>684</v>
      </c>
      <c r="J494" s="18" t="s">
        <v>18</v>
      </c>
      <c r="K494" s="21"/>
    </row>
    <row r="495" spans="1:11" ht="28.9">
      <c r="A495" s="12">
        <f>_xlfn.AGGREGATE(3,1,$B$6:B495)</f>
        <v>490</v>
      </c>
      <c r="B495" s="13" t="s">
        <v>682</v>
      </c>
      <c r="C495" s="13" t="s">
        <v>47</v>
      </c>
      <c r="D495" s="16" t="s">
        <v>685</v>
      </c>
      <c r="E495" s="13" t="s">
        <v>183</v>
      </c>
      <c r="F495" s="15">
        <v>45211</v>
      </c>
      <c r="G495" s="13" t="s">
        <v>16</v>
      </c>
      <c r="H495" s="15"/>
      <c r="I495" s="13" t="s">
        <v>684</v>
      </c>
      <c r="J495" s="13" t="s">
        <v>18</v>
      </c>
      <c r="K495" s="16"/>
    </row>
    <row r="496" spans="1:11" ht="43.15">
      <c r="A496" s="17">
        <f>_xlfn.AGGREGATE(3,1,$B$6:B496)</f>
        <v>491</v>
      </c>
      <c r="B496" s="18" t="s">
        <v>682</v>
      </c>
      <c r="C496" s="18" t="s">
        <v>47</v>
      </c>
      <c r="D496" s="21" t="s">
        <v>686</v>
      </c>
      <c r="E496" s="18" t="s">
        <v>183</v>
      </c>
      <c r="F496" s="20">
        <v>45211</v>
      </c>
      <c r="G496" s="18" t="s">
        <v>16</v>
      </c>
      <c r="H496" s="20"/>
      <c r="I496" s="18" t="s">
        <v>684</v>
      </c>
      <c r="J496" s="18" t="s">
        <v>305</v>
      </c>
      <c r="K496" s="21"/>
    </row>
    <row r="497" spans="1:11" ht="28.9">
      <c r="A497" s="12">
        <f>_xlfn.AGGREGATE(3,1,$B$6:B497)</f>
        <v>492</v>
      </c>
      <c r="B497" s="13" t="s">
        <v>682</v>
      </c>
      <c r="C497" s="13" t="s">
        <v>47</v>
      </c>
      <c r="D497" s="16" t="s">
        <v>687</v>
      </c>
      <c r="E497" s="13" t="s">
        <v>183</v>
      </c>
      <c r="F497" s="15">
        <v>45211</v>
      </c>
      <c r="G497" s="13" t="s">
        <v>16</v>
      </c>
      <c r="H497" s="15"/>
      <c r="I497" s="13" t="s">
        <v>684</v>
      </c>
      <c r="J497" s="13" t="s">
        <v>305</v>
      </c>
      <c r="K497" s="16"/>
    </row>
    <row r="498" spans="1:11" ht="28.9">
      <c r="A498" s="17">
        <f>_xlfn.AGGREGATE(3,1,$B$6:B498)</f>
        <v>493</v>
      </c>
      <c r="B498" s="18" t="s">
        <v>688</v>
      </c>
      <c r="C498" s="18" t="s">
        <v>28</v>
      </c>
      <c r="D498" s="21" t="s">
        <v>689</v>
      </c>
      <c r="E498" s="18" t="s">
        <v>690</v>
      </c>
      <c r="F498" s="20">
        <v>45229</v>
      </c>
      <c r="G498" s="18" t="s">
        <v>16</v>
      </c>
      <c r="H498" s="20"/>
      <c r="I498" s="18" t="s">
        <v>17</v>
      </c>
      <c r="J498" s="18" t="s">
        <v>18</v>
      </c>
      <c r="K498" s="21" t="s">
        <v>691</v>
      </c>
    </row>
    <row r="499" spans="1:11" ht="28.9">
      <c r="A499" s="12">
        <f>_xlfn.AGGREGATE(3,1,$B$6:B499)</f>
        <v>494</v>
      </c>
      <c r="B499" s="13" t="s">
        <v>688</v>
      </c>
      <c r="C499" s="13" t="s">
        <v>28</v>
      </c>
      <c r="D499" s="16" t="s">
        <v>692</v>
      </c>
      <c r="E499" s="13" t="s">
        <v>690</v>
      </c>
      <c r="F499" s="15">
        <v>45229</v>
      </c>
      <c r="G499" s="13" t="s">
        <v>16</v>
      </c>
      <c r="H499" s="15"/>
      <c r="I499" s="13" t="s">
        <v>17</v>
      </c>
      <c r="J499" s="13" t="s">
        <v>18</v>
      </c>
      <c r="K499" s="16"/>
    </row>
    <row r="500" spans="1:11" ht="28.9">
      <c r="A500" s="17">
        <f>_xlfn.AGGREGATE(3,1,$B$6:B500)</f>
        <v>495</v>
      </c>
      <c r="B500" s="18" t="s">
        <v>688</v>
      </c>
      <c r="C500" s="18" t="s">
        <v>164</v>
      </c>
      <c r="D500" s="21" t="s">
        <v>693</v>
      </c>
      <c r="E500" s="18" t="s">
        <v>694</v>
      </c>
      <c r="F500" s="20">
        <v>45229</v>
      </c>
      <c r="G500" s="18" t="s">
        <v>20</v>
      </c>
      <c r="H500" s="20"/>
      <c r="I500" s="18" t="s">
        <v>17</v>
      </c>
      <c r="J500" s="18" t="s">
        <v>18</v>
      </c>
      <c r="K500" s="21"/>
    </row>
    <row r="501" spans="1:11" ht="57.6">
      <c r="A501" s="12">
        <f>_xlfn.AGGREGATE(3,1,$B$6:B501)</f>
        <v>496</v>
      </c>
      <c r="B501" s="13" t="s">
        <v>688</v>
      </c>
      <c r="C501" s="13" t="s">
        <v>164</v>
      </c>
      <c r="D501" s="16" t="s">
        <v>603</v>
      </c>
      <c r="E501" s="13" t="s">
        <v>694</v>
      </c>
      <c r="F501" s="15">
        <v>45229</v>
      </c>
      <c r="G501" s="13" t="s">
        <v>20</v>
      </c>
      <c r="H501" s="15"/>
      <c r="I501" s="13" t="s">
        <v>17</v>
      </c>
      <c r="J501" s="13" t="s">
        <v>18</v>
      </c>
      <c r="K501" s="16"/>
    </row>
    <row r="502" spans="1:11" ht="28.9">
      <c r="A502" s="17">
        <f>_xlfn.AGGREGATE(3,1,$B$6:B502)</f>
        <v>497</v>
      </c>
      <c r="B502" s="18" t="s">
        <v>688</v>
      </c>
      <c r="C502" s="18" t="s">
        <v>47</v>
      </c>
      <c r="D502" s="21" t="s">
        <v>695</v>
      </c>
      <c r="E502" s="18" t="s">
        <v>690</v>
      </c>
      <c r="F502" s="20">
        <v>45229</v>
      </c>
      <c r="G502" s="18" t="s">
        <v>20</v>
      </c>
      <c r="H502" s="20"/>
      <c r="I502" s="18" t="s">
        <v>26</v>
      </c>
      <c r="J502" s="18" t="s">
        <v>18</v>
      </c>
      <c r="K502" s="21" t="s">
        <v>696</v>
      </c>
    </row>
    <row r="503" spans="1:11">
      <c r="A503" s="12">
        <f>_xlfn.AGGREGATE(3,1,$B$6:B503)</f>
        <v>498</v>
      </c>
      <c r="B503" s="13" t="s">
        <v>688</v>
      </c>
      <c r="C503" s="13" t="s">
        <v>47</v>
      </c>
      <c r="D503" s="16" t="s">
        <v>322</v>
      </c>
      <c r="E503" s="13" t="s">
        <v>694</v>
      </c>
      <c r="F503" s="15">
        <v>45229</v>
      </c>
      <c r="G503" s="13" t="s">
        <v>77</v>
      </c>
      <c r="H503" s="15"/>
      <c r="I503" s="13" t="s">
        <v>26</v>
      </c>
      <c r="J503" s="13" t="s">
        <v>18</v>
      </c>
      <c r="K503" s="16"/>
    </row>
    <row r="504" spans="1:11">
      <c r="A504" s="17">
        <f>_xlfn.AGGREGATE(3,1,$B$6:B504)</f>
        <v>499</v>
      </c>
      <c r="B504" s="18" t="s">
        <v>688</v>
      </c>
      <c r="C504" s="18" t="s">
        <v>47</v>
      </c>
      <c r="D504" s="21" t="s">
        <v>697</v>
      </c>
      <c r="E504" s="18" t="s">
        <v>694</v>
      </c>
      <c r="F504" s="20">
        <v>45229</v>
      </c>
      <c r="G504" s="18" t="s">
        <v>77</v>
      </c>
      <c r="H504" s="20"/>
      <c r="I504" s="18" t="s">
        <v>26</v>
      </c>
      <c r="J504" s="18" t="s">
        <v>18</v>
      </c>
      <c r="K504" s="21"/>
    </row>
    <row r="505" spans="1:11" ht="43.15">
      <c r="A505" s="12">
        <f>_xlfn.AGGREGATE(3,1,$B$6:B505)</f>
        <v>500</v>
      </c>
      <c r="B505" s="13" t="s">
        <v>698</v>
      </c>
      <c r="C505" s="13" t="s">
        <v>153</v>
      </c>
      <c r="D505" s="16" t="s">
        <v>699</v>
      </c>
      <c r="E505" s="13" t="s">
        <v>700</v>
      </c>
      <c r="F505" s="15">
        <v>45231</v>
      </c>
      <c r="G505" s="13" t="s">
        <v>20</v>
      </c>
      <c r="H505" s="15"/>
      <c r="I505" s="13" t="s">
        <v>17</v>
      </c>
      <c r="J505" s="13" t="s">
        <v>18</v>
      </c>
      <c r="K505" s="16"/>
    </row>
    <row r="506" spans="1:11" ht="28.9">
      <c r="A506" s="17">
        <f>_xlfn.AGGREGATE(3,1,$B$6:B506)</f>
        <v>501</v>
      </c>
      <c r="B506" s="18" t="s">
        <v>698</v>
      </c>
      <c r="C506" s="18" t="s">
        <v>153</v>
      </c>
      <c r="D506" s="21" t="s">
        <v>701</v>
      </c>
      <c r="E506" s="18" t="s">
        <v>700</v>
      </c>
      <c r="F506" s="20">
        <v>45231</v>
      </c>
      <c r="G506" s="18" t="s">
        <v>77</v>
      </c>
      <c r="H506" s="20"/>
      <c r="I506" s="18" t="s">
        <v>17</v>
      </c>
      <c r="J506" s="18" t="s">
        <v>18</v>
      </c>
      <c r="K506" s="21"/>
    </row>
    <row r="507" spans="1:11" ht="28.9">
      <c r="A507" s="12">
        <f>_xlfn.AGGREGATE(3,1,$B$6:B507)</f>
        <v>502</v>
      </c>
      <c r="B507" s="13" t="s">
        <v>698</v>
      </c>
      <c r="C507" s="13" t="s">
        <v>50</v>
      </c>
      <c r="D507" s="16" t="s">
        <v>701</v>
      </c>
      <c r="E507" s="13" t="s">
        <v>411</v>
      </c>
      <c r="F507" s="15">
        <v>45231</v>
      </c>
      <c r="G507" s="13" t="s">
        <v>77</v>
      </c>
      <c r="H507" s="15"/>
      <c r="I507" s="13" t="s">
        <v>17</v>
      </c>
      <c r="J507" s="13" t="s">
        <v>18</v>
      </c>
      <c r="K507" s="16"/>
    </row>
    <row r="508" spans="1:11" ht="28.9">
      <c r="A508" s="17">
        <f>_xlfn.AGGREGATE(3,1,$B$6:B508)</f>
        <v>503</v>
      </c>
      <c r="B508" s="18" t="s">
        <v>698</v>
      </c>
      <c r="C508" s="18" t="s">
        <v>140</v>
      </c>
      <c r="D508" s="21" t="s">
        <v>701</v>
      </c>
      <c r="E508" s="18" t="s">
        <v>411</v>
      </c>
      <c r="F508" s="20">
        <v>45231</v>
      </c>
      <c r="G508" s="18" t="s">
        <v>77</v>
      </c>
      <c r="H508" s="20"/>
      <c r="I508" s="18" t="s">
        <v>17</v>
      </c>
      <c r="J508" s="18" t="s">
        <v>18</v>
      </c>
      <c r="K508" s="21"/>
    </row>
    <row r="509" spans="1:11" ht="43.15">
      <c r="A509" s="12">
        <f>_xlfn.AGGREGATE(3,1,$B$6:B509)</f>
        <v>504</v>
      </c>
      <c r="B509" s="13" t="s">
        <v>698</v>
      </c>
      <c r="C509" s="13" t="s">
        <v>47</v>
      </c>
      <c r="D509" s="16" t="s">
        <v>702</v>
      </c>
      <c r="E509" s="13" t="s">
        <v>700</v>
      </c>
      <c r="F509" s="15">
        <v>45231</v>
      </c>
      <c r="G509" s="13" t="s">
        <v>20</v>
      </c>
      <c r="H509" s="15"/>
      <c r="I509" s="13" t="s">
        <v>26</v>
      </c>
      <c r="J509" s="13" t="s">
        <v>18</v>
      </c>
      <c r="K509" s="16"/>
    </row>
    <row r="510" spans="1:11" ht="28.9">
      <c r="A510" s="17">
        <f>_xlfn.AGGREGATE(3,1,$B$6:B510)</f>
        <v>505</v>
      </c>
      <c r="B510" s="18" t="s">
        <v>698</v>
      </c>
      <c r="C510" s="18" t="s">
        <v>47</v>
      </c>
      <c r="D510" s="21" t="s">
        <v>703</v>
      </c>
      <c r="E510" s="18" t="s">
        <v>411</v>
      </c>
      <c r="F510" s="20">
        <v>45231</v>
      </c>
      <c r="G510" s="18" t="s">
        <v>16</v>
      </c>
      <c r="H510" s="20"/>
      <c r="I510" s="18" t="s">
        <v>26</v>
      </c>
      <c r="J510" s="18" t="s">
        <v>18</v>
      </c>
      <c r="K510" s="21"/>
    </row>
    <row r="511" spans="1:11" ht="28.9">
      <c r="A511" s="12">
        <f>_xlfn.AGGREGATE(3,1,$B$6:B511)</f>
        <v>506</v>
      </c>
      <c r="B511" s="13" t="s">
        <v>704</v>
      </c>
      <c r="C511" s="13" t="s">
        <v>705</v>
      </c>
      <c r="D511" s="16" t="s">
        <v>706</v>
      </c>
      <c r="E511" s="13" t="s">
        <v>30</v>
      </c>
      <c r="F511" s="15">
        <v>45246</v>
      </c>
      <c r="G511" s="13" t="s">
        <v>77</v>
      </c>
      <c r="H511" s="15"/>
      <c r="I511" s="13" t="s">
        <v>26</v>
      </c>
      <c r="J511" s="13" t="s">
        <v>18</v>
      </c>
      <c r="K511" s="16"/>
    </row>
    <row r="512" spans="1:11" ht="28.9">
      <c r="A512" s="17">
        <f>_xlfn.AGGREGATE(3,1,$B$6:B512)</f>
        <v>507</v>
      </c>
      <c r="B512" s="18" t="s">
        <v>704</v>
      </c>
      <c r="C512" s="18" t="s">
        <v>707</v>
      </c>
      <c r="D512" s="21" t="s">
        <v>708</v>
      </c>
      <c r="E512" s="18" t="s">
        <v>393</v>
      </c>
      <c r="F512" s="20">
        <v>45246</v>
      </c>
      <c r="G512" s="18" t="s">
        <v>20</v>
      </c>
      <c r="H512" s="20"/>
      <c r="I512" s="18" t="s">
        <v>26</v>
      </c>
      <c r="J512" s="18" t="s">
        <v>18</v>
      </c>
      <c r="K512" s="21"/>
    </row>
    <row r="513" spans="1:11" ht="28.9">
      <c r="A513" s="12">
        <f>_xlfn.AGGREGATE(3,1,$B$6:B513)</f>
        <v>508</v>
      </c>
      <c r="B513" s="13" t="s">
        <v>704</v>
      </c>
      <c r="C513" s="13" t="s">
        <v>707</v>
      </c>
      <c r="D513" s="16" t="s">
        <v>709</v>
      </c>
      <c r="E513" s="13" t="s">
        <v>393</v>
      </c>
      <c r="F513" s="15">
        <v>45246</v>
      </c>
      <c r="G513" s="13" t="s">
        <v>16</v>
      </c>
      <c r="H513" s="15"/>
      <c r="I513" s="13" t="s">
        <v>26</v>
      </c>
      <c r="J513" s="13" t="s">
        <v>18</v>
      </c>
      <c r="K513" s="16"/>
    </row>
    <row r="514" spans="1:11" ht="28.9">
      <c r="A514" s="17">
        <f>_xlfn.AGGREGATE(3,1,$B$6:B514)</f>
        <v>509</v>
      </c>
      <c r="B514" s="18" t="s">
        <v>704</v>
      </c>
      <c r="C514" s="18" t="s">
        <v>707</v>
      </c>
      <c r="D514" s="21" t="s">
        <v>701</v>
      </c>
      <c r="E514" s="18" t="s">
        <v>393</v>
      </c>
      <c r="F514" s="20">
        <v>45246</v>
      </c>
      <c r="G514" s="18" t="s">
        <v>77</v>
      </c>
      <c r="H514" s="20"/>
      <c r="I514" s="18" t="s">
        <v>17</v>
      </c>
      <c r="J514" s="18" t="s">
        <v>18</v>
      </c>
      <c r="K514" s="21"/>
    </row>
    <row r="515" spans="1:11">
      <c r="A515" s="12">
        <f>_xlfn.AGGREGATE(3,1,$B$6:B515)</f>
        <v>510</v>
      </c>
      <c r="B515" s="13" t="s">
        <v>704</v>
      </c>
      <c r="C515" s="13" t="s">
        <v>47</v>
      </c>
      <c r="D515" s="16" t="s">
        <v>697</v>
      </c>
      <c r="E515" s="13" t="s">
        <v>393</v>
      </c>
      <c r="F515" s="15">
        <v>45246</v>
      </c>
      <c r="G515" s="13" t="s">
        <v>16</v>
      </c>
      <c r="H515" s="15"/>
      <c r="I515" s="13" t="s">
        <v>26</v>
      </c>
      <c r="J515" s="13" t="s">
        <v>18</v>
      </c>
      <c r="K515" s="16"/>
    </row>
    <row r="516" spans="1:11" ht="28.9">
      <c r="A516" s="17">
        <f>_xlfn.AGGREGATE(3,1,$B$6:B516)</f>
        <v>511</v>
      </c>
      <c r="B516" s="18" t="s">
        <v>704</v>
      </c>
      <c r="C516" s="18" t="s">
        <v>47</v>
      </c>
      <c r="D516" s="21" t="s">
        <v>710</v>
      </c>
      <c r="E516" s="18" t="s">
        <v>159</v>
      </c>
      <c r="F516" s="20">
        <v>45246</v>
      </c>
      <c r="G516" s="18" t="s">
        <v>16</v>
      </c>
      <c r="H516" s="20"/>
      <c r="I516" s="18" t="s">
        <v>26</v>
      </c>
      <c r="J516" s="18" t="s">
        <v>18</v>
      </c>
      <c r="K516" s="21"/>
    </row>
    <row r="517" spans="1:11" ht="28.9">
      <c r="A517" s="12">
        <f>_xlfn.AGGREGATE(3,1,$B$6:B517)</f>
        <v>512</v>
      </c>
      <c r="B517" s="13" t="s">
        <v>711</v>
      </c>
      <c r="C517" s="13" t="s">
        <v>47</v>
      </c>
      <c r="D517" s="16" t="s">
        <v>712</v>
      </c>
      <c r="E517" s="13" t="s">
        <v>694</v>
      </c>
      <c r="F517" s="15">
        <v>45260</v>
      </c>
      <c r="G517" s="13" t="s">
        <v>20</v>
      </c>
      <c r="H517" s="15"/>
      <c r="I517" s="13" t="s">
        <v>26</v>
      </c>
      <c r="J517" s="13" t="s">
        <v>18</v>
      </c>
      <c r="K517" s="16"/>
    </row>
    <row r="518" spans="1:11" ht="28.9">
      <c r="A518" s="17">
        <f>_xlfn.AGGREGATE(3,1,$B$6:B518)</f>
        <v>513</v>
      </c>
      <c r="B518" s="18" t="s">
        <v>711</v>
      </c>
      <c r="C518" s="18" t="s">
        <v>157</v>
      </c>
      <c r="D518" s="21" t="s">
        <v>713</v>
      </c>
      <c r="E518" s="18" t="s">
        <v>694</v>
      </c>
      <c r="F518" s="20">
        <v>45260</v>
      </c>
      <c r="G518" s="18" t="s">
        <v>16</v>
      </c>
      <c r="H518" s="20"/>
      <c r="I518" s="18" t="s">
        <v>26</v>
      </c>
      <c r="J518" s="18" t="s">
        <v>18</v>
      </c>
      <c r="K518" s="21"/>
    </row>
    <row r="519" spans="1:11" ht="43.15">
      <c r="A519" s="12">
        <f>_xlfn.AGGREGATE(3,1,$B$6:B519)</f>
        <v>514</v>
      </c>
      <c r="B519" s="13" t="s">
        <v>711</v>
      </c>
      <c r="C519" s="13" t="s">
        <v>50</v>
      </c>
      <c r="D519" s="16" t="s">
        <v>663</v>
      </c>
      <c r="E519" s="13" t="s">
        <v>401</v>
      </c>
      <c r="F519" s="15">
        <v>45260</v>
      </c>
      <c r="G519" s="13" t="s">
        <v>20</v>
      </c>
      <c r="H519" s="15"/>
      <c r="I519" s="13" t="s">
        <v>17</v>
      </c>
      <c r="J519" s="13" t="s">
        <v>18</v>
      </c>
      <c r="K519" s="16" t="s">
        <v>714</v>
      </c>
    </row>
    <row r="520" spans="1:11">
      <c r="A520" s="17">
        <f>_xlfn.AGGREGATE(3,1,$B$6:B520)</f>
        <v>515</v>
      </c>
      <c r="B520" s="18" t="s">
        <v>711</v>
      </c>
      <c r="C520" s="18" t="s">
        <v>47</v>
      </c>
      <c r="D520" s="21" t="s">
        <v>598</v>
      </c>
      <c r="E520" s="18" t="s">
        <v>401</v>
      </c>
      <c r="F520" s="20">
        <v>45260</v>
      </c>
      <c r="G520" s="18" t="s">
        <v>16</v>
      </c>
      <c r="H520" s="20"/>
      <c r="I520" s="18" t="s">
        <v>26</v>
      </c>
      <c r="J520" s="18" t="s">
        <v>18</v>
      </c>
      <c r="K520" s="21"/>
    </row>
    <row r="521" spans="1:11" ht="43.15">
      <c r="A521" s="12">
        <f>_xlfn.AGGREGATE(3,1,$B$6:B521)</f>
        <v>516</v>
      </c>
      <c r="B521" s="13" t="s">
        <v>715</v>
      </c>
      <c r="C521" s="13" t="s">
        <v>153</v>
      </c>
      <c r="D521" s="16" t="s">
        <v>701</v>
      </c>
      <c r="E521" s="13" t="s">
        <v>38</v>
      </c>
      <c r="F521" s="15">
        <v>45285</v>
      </c>
      <c r="G521" s="13" t="s">
        <v>16</v>
      </c>
      <c r="H521" s="15"/>
      <c r="I521" s="13" t="s">
        <v>17</v>
      </c>
      <c r="J521" s="13" t="s">
        <v>18</v>
      </c>
      <c r="K521" s="16" t="s">
        <v>716</v>
      </c>
    </row>
    <row r="522" spans="1:11" ht="28.9">
      <c r="A522" s="17">
        <f>_xlfn.AGGREGATE(3,1,$B$6:B522)</f>
        <v>517</v>
      </c>
      <c r="B522" s="18" t="s">
        <v>715</v>
      </c>
      <c r="C522" s="18" t="s">
        <v>294</v>
      </c>
      <c r="D522" s="21" t="s">
        <v>701</v>
      </c>
      <c r="E522" s="18" t="s">
        <v>42</v>
      </c>
      <c r="F522" s="20">
        <v>45285</v>
      </c>
      <c r="G522" s="18" t="s">
        <v>16</v>
      </c>
      <c r="H522" s="20"/>
      <c r="I522" s="18" t="s">
        <v>17</v>
      </c>
      <c r="J522" s="18" t="s">
        <v>18</v>
      </c>
      <c r="K522" s="21"/>
    </row>
    <row r="523" spans="1:11" ht="28.9">
      <c r="A523" s="12">
        <f>_xlfn.AGGREGATE(3,1,$B$6:B523)</f>
        <v>518</v>
      </c>
      <c r="B523" s="13" t="s">
        <v>715</v>
      </c>
      <c r="C523" s="13" t="s">
        <v>47</v>
      </c>
      <c r="D523" s="16" t="s">
        <v>717</v>
      </c>
      <c r="E523" s="13" t="s">
        <v>42</v>
      </c>
      <c r="F523" s="15">
        <v>45285</v>
      </c>
      <c r="G523" s="13" t="s">
        <v>20</v>
      </c>
      <c r="H523" s="15"/>
      <c r="I523" s="13" t="s">
        <v>26</v>
      </c>
      <c r="J523" s="13" t="s">
        <v>18</v>
      </c>
      <c r="K523" s="16"/>
    </row>
    <row r="524" spans="1:11" ht="43.15">
      <c r="A524" s="17">
        <f>_xlfn.AGGREGATE(3,1,$B$6:B524)</f>
        <v>519</v>
      </c>
      <c r="B524" s="18" t="s">
        <v>715</v>
      </c>
      <c r="C524" s="18" t="s">
        <v>13</v>
      </c>
      <c r="D524" s="21" t="s">
        <v>718</v>
      </c>
      <c r="E524" s="18" t="s">
        <v>719</v>
      </c>
      <c r="F524" s="20">
        <v>45285</v>
      </c>
      <c r="G524" s="18" t="s">
        <v>16</v>
      </c>
      <c r="H524" s="20"/>
      <c r="I524" s="18" t="s">
        <v>17</v>
      </c>
      <c r="J524" s="18" t="s">
        <v>18</v>
      </c>
      <c r="K524" s="21" t="s">
        <v>720</v>
      </c>
    </row>
    <row r="525" spans="1:11" ht="28.9">
      <c r="A525" s="12">
        <f>_xlfn.AGGREGATE(3,1,$B$6:B525)</f>
        <v>520</v>
      </c>
      <c r="B525" s="13" t="s">
        <v>715</v>
      </c>
      <c r="C525" s="13" t="s">
        <v>47</v>
      </c>
      <c r="D525" s="16" t="s">
        <v>721</v>
      </c>
      <c r="E525" s="13" t="s">
        <v>719</v>
      </c>
      <c r="F525" s="15">
        <v>45285</v>
      </c>
      <c r="G525" s="13" t="s">
        <v>20</v>
      </c>
      <c r="H525" s="15"/>
      <c r="I525" s="13" t="s">
        <v>304</v>
      </c>
      <c r="J525" s="13" t="s">
        <v>18</v>
      </c>
      <c r="K525" s="16"/>
    </row>
    <row r="526" spans="1:11" ht="28.9">
      <c r="A526" s="17">
        <f>_xlfn.AGGREGATE(3,1,$B$6:B526)</f>
        <v>521</v>
      </c>
      <c r="B526" s="18" t="s">
        <v>722</v>
      </c>
      <c r="C526" s="18" t="s">
        <v>47</v>
      </c>
      <c r="D526" s="21" t="s">
        <v>723</v>
      </c>
      <c r="E526" s="18" t="s">
        <v>401</v>
      </c>
      <c r="F526" s="20">
        <v>45296</v>
      </c>
      <c r="G526" s="18" t="s">
        <v>16</v>
      </c>
      <c r="H526" s="20"/>
      <c r="I526" s="18" t="s">
        <v>26</v>
      </c>
      <c r="J526" s="18" t="s">
        <v>18</v>
      </c>
      <c r="K526" s="21" t="s">
        <v>724</v>
      </c>
    </row>
    <row r="527" spans="1:11" ht="28.9">
      <c r="A527" s="12">
        <f>_xlfn.AGGREGATE(3,1,$B$6:B527)</f>
        <v>522</v>
      </c>
      <c r="B527" s="13" t="s">
        <v>722</v>
      </c>
      <c r="C527" s="13" t="s">
        <v>123</v>
      </c>
      <c r="D527" s="16" t="s">
        <v>725</v>
      </c>
      <c r="E527" s="13" t="s">
        <v>401</v>
      </c>
      <c r="F527" s="15">
        <v>45296</v>
      </c>
      <c r="G527" s="13" t="s">
        <v>20</v>
      </c>
      <c r="H527" s="15"/>
      <c r="I527" s="13" t="s">
        <v>26</v>
      </c>
      <c r="J527" s="13" t="s">
        <v>18</v>
      </c>
      <c r="K527" s="16"/>
    </row>
    <row r="528" spans="1:11">
      <c r="A528" s="17">
        <f>_xlfn.AGGREGATE(3,1,$B$6:B528)</f>
        <v>523</v>
      </c>
      <c r="B528" s="18" t="s">
        <v>722</v>
      </c>
      <c r="C528" s="18" t="s">
        <v>123</v>
      </c>
      <c r="D528" s="21" t="s">
        <v>726</v>
      </c>
      <c r="E528" s="18" t="s">
        <v>401</v>
      </c>
      <c r="F528" s="20">
        <v>45296</v>
      </c>
      <c r="G528" s="18" t="s">
        <v>77</v>
      </c>
      <c r="H528" s="20"/>
      <c r="I528" s="18" t="s">
        <v>17</v>
      </c>
      <c r="J528" s="18" t="s">
        <v>18</v>
      </c>
      <c r="K528" s="21"/>
    </row>
    <row r="529" spans="1:11" ht="28.9">
      <c r="A529" s="12">
        <f>_xlfn.AGGREGATE(3,1,$B$6:B529)</f>
        <v>524</v>
      </c>
      <c r="B529" s="13" t="s">
        <v>722</v>
      </c>
      <c r="C529" s="13" t="s">
        <v>75</v>
      </c>
      <c r="D529" s="16" t="s">
        <v>585</v>
      </c>
      <c r="E529" s="13" t="s">
        <v>694</v>
      </c>
      <c r="F529" s="15">
        <v>45296</v>
      </c>
      <c r="G529" s="13" t="s">
        <v>16</v>
      </c>
      <c r="H529" s="15"/>
      <c r="I529" s="13" t="s">
        <v>17</v>
      </c>
      <c r="J529" s="13" t="s">
        <v>18</v>
      </c>
      <c r="K529" s="16"/>
    </row>
    <row r="530" spans="1:11" ht="28.9">
      <c r="A530" s="17">
        <f>_xlfn.AGGREGATE(3,1,$B$6:B530)</f>
        <v>525</v>
      </c>
      <c r="B530" s="18" t="s">
        <v>722</v>
      </c>
      <c r="C530" s="18" t="s">
        <v>75</v>
      </c>
      <c r="D530" s="21" t="s">
        <v>727</v>
      </c>
      <c r="E530" s="18" t="s">
        <v>694</v>
      </c>
      <c r="F530" s="20">
        <v>45296</v>
      </c>
      <c r="G530" s="18" t="s">
        <v>16</v>
      </c>
      <c r="H530" s="20"/>
      <c r="I530" s="18" t="s">
        <v>17</v>
      </c>
      <c r="J530" s="18" t="s">
        <v>18</v>
      </c>
      <c r="K530" s="21"/>
    </row>
    <row r="531" spans="1:11" ht="28.9">
      <c r="A531" s="12">
        <f>_xlfn.AGGREGATE(3,1,$B$6:B531)</f>
        <v>526</v>
      </c>
      <c r="B531" s="13" t="s">
        <v>722</v>
      </c>
      <c r="C531" s="13" t="s">
        <v>72</v>
      </c>
      <c r="D531" s="16" t="s">
        <v>728</v>
      </c>
      <c r="E531" s="13" t="s">
        <v>729</v>
      </c>
      <c r="F531" s="15">
        <v>45296</v>
      </c>
      <c r="G531" s="13" t="s">
        <v>16</v>
      </c>
      <c r="H531" s="15"/>
      <c r="I531" s="13" t="s">
        <v>26</v>
      </c>
      <c r="J531" s="13" t="s">
        <v>18</v>
      </c>
      <c r="K531" s="16"/>
    </row>
    <row r="532" spans="1:11" ht="43.15">
      <c r="A532" s="17">
        <f>_xlfn.AGGREGATE(3,1,$B$6:B532)</f>
        <v>527</v>
      </c>
      <c r="B532" s="18" t="s">
        <v>722</v>
      </c>
      <c r="C532" s="18" t="s">
        <v>571</v>
      </c>
      <c r="D532" s="21" t="s">
        <v>730</v>
      </c>
      <c r="E532" s="18" t="s">
        <v>729</v>
      </c>
      <c r="F532" s="20">
        <v>45296</v>
      </c>
      <c r="G532" s="18" t="s">
        <v>20</v>
      </c>
      <c r="H532" s="20"/>
      <c r="I532" s="18" t="s">
        <v>17</v>
      </c>
      <c r="J532" s="18" t="s">
        <v>18</v>
      </c>
      <c r="K532" s="21" t="s">
        <v>731</v>
      </c>
    </row>
    <row r="533" spans="1:11" ht="28.9">
      <c r="A533" s="12">
        <f>_xlfn.AGGREGATE(3,1,$B$6:B533)</f>
        <v>528</v>
      </c>
      <c r="B533" s="13" t="s">
        <v>722</v>
      </c>
      <c r="C533" s="13" t="s">
        <v>571</v>
      </c>
      <c r="D533" s="16" t="s">
        <v>732</v>
      </c>
      <c r="E533" s="13" t="s">
        <v>729</v>
      </c>
      <c r="F533" s="15">
        <v>45296</v>
      </c>
      <c r="G533" s="13" t="s">
        <v>20</v>
      </c>
      <c r="H533" s="15"/>
      <c r="I533" s="13" t="s">
        <v>17</v>
      </c>
      <c r="J533" s="13" t="s">
        <v>18</v>
      </c>
      <c r="K533" s="16"/>
    </row>
    <row r="534" spans="1:11" ht="28.9">
      <c r="A534" s="17">
        <f>_xlfn.AGGREGATE(3,1,$B$6:B534)</f>
        <v>529</v>
      </c>
      <c r="B534" s="18" t="s">
        <v>733</v>
      </c>
      <c r="C534" s="18" t="s">
        <v>13</v>
      </c>
      <c r="D534" s="21" t="s">
        <v>734</v>
      </c>
      <c r="E534" s="18" t="s">
        <v>38</v>
      </c>
      <c r="F534" s="20">
        <v>45321</v>
      </c>
      <c r="G534" s="18" t="s">
        <v>77</v>
      </c>
      <c r="H534" s="20"/>
      <c r="I534" s="18" t="s">
        <v>17</v>
      </c>
      <c r="J534" s="18" t="s">
        <v>18</v>
      </c>
      <c r="K534" s="21" t="s">
        <v>735</v>
      </c>
    </row>
    <row r="535" spans="1:11" ht="28.9">
      <c r="A535" s="12">
        <f>_xlfn.AGGREGATE(3,1,$B$6:B535)</f>
        <v>530</v>
      </c>
      <c r="B535" s="13" t="s">
        <v>733</v>
      </c>
      <c r="C535" s="13" t="s">
        <v>13</v>
      </c>
      <c r="D535" s="16" t="s">
        <v>736</v>
      </c>
      <c r="E535" s="13" t="s">
        <v>38</v>
      </c>
      <c r="F535" s="15">
        <v>45321</v>
      </c>
      <c r="G535" s="13" t="s">
        <v>16</v>
      </c>
      <c r="H535" s="15"/>
      <c r="I535" s="13" t="s">
        <v>26</v>
      </c>
      <c r="J535" s="13" t="s">
        <v>18</v>
      </c>
      <c r="K535" s="16"/>
    </row>
    <row r="536" spans="1:11" ht="28.9">
      <c r="A536" s="17">
        <f>_xlfn.AGGREGATE(3,1,$B$6:B536)</f>
        <v>531</v>
      </c>
      <c r="B536" s="18" t="s">
        <v>733</v>
      </c>
      <c r="C536" s="18" t="s">
        <v>381</v>
      </c>
      <c r="D536" s="21" t="s">
        <v>734</v>
      </c>
      <c r="E536" s="18" t="s">
        <v>38</v>
      </c>
      <c r="F536" s="20">
        <v>45321</v>
      </c>
      <c r="G536" s="18" t="s">
        <v>77</v>
      </c>
      <c r="H536" s="20"/>
      <c r="I536" s="18" t="s">
        <v>17</v>
      </c>
      <c r="J536" s="18" t="s">
        <v>18</v>
      </c>
      <c r="K536" s="21"/>
    </row>
    <row r="537" spans="1:11" ht="72">
      <c r="A537" s="12">
        <f>_xlfn.AGGREGATE(3,1,$B$6:B537)</f>
        <v>532</v>
      </c>
      <c r="B537" s="13" t="s">
        <v>733</v>
      </c>
      <c r="C537" s="13" t="s">
        <v>737</v>
      </c>
      <c r="D537" s="16" t="s">
        <v>738</v>
      </c>
      <c r="E537" s="13" t="s">
        <v>388</v>
      </c>
      <c r="F537" s="15">
        <v>45321</v>
      </c>
      <c r="G537" s="13" t="s">
        <v>16</v>
      </c>
      <c r="H537" s="15"/>
      <c r="I537" s="13" t="s">
        <v>17</v>
      </c>
      <c r="J537" s="13" t="s">
        <v>18</v>
      </c>
      <c r="K537" s="16"/>
    </row>
    <row r="538" spans="1:11">
      <c r="A538" s="17">
        <f>_xlfn.AGGREGATE(3,1,$B$6:B538)</f>
        <v>533</v>
      </c>
      <c r="B538" s="18" t="s">
        <v>733</v>
      </c>
      <c r="C538" s="18" t="s">
        <v>737</v>
      </c>
      <c r="D538" s="21" t="s">
        <v>739</v>
      </c>
      <c r="E538" s="18" t="s">
        <v>388</v>
      </c>
      <c r="F538" s="20">
        <v>45321</v>
      </c>
      <c r="G538" s="18" t="s">
        <v>16</v>
      </c>
      <c r="H538" s="20"/>
      <c r="I538" s="18" t="s">
        <v>17</v>
      </c>
      <c r="J538" s="18" t="s">
        <v>18</v>
      </c>
      <c r="K538" s="21"/>
    </row>
    <row r="539" spans="1:11" ht="43.15">
      <c r="A539" s="12">
        <f>_xlfn.AGGREGATE(3,1,$B$6:B539)</f>
        <v>534</v>
      </c>
      <c r="B539" s="13" t="s">
        <v>733</v>
      </c>
      <c r="C539" s="13" t="s">
        <v>47</v>
      </c>
      <c r="D539" s="16" t="s">
        <v>740</v>
      </c>
      <c r="E539" s="13" t="s">
        <v>388</v>
      </c>
      <c r="F539" s="15">
        <v>45321</v>
      </c>
      <c r="G539" s="13" t="s">
        <v>16</v>
      </c>
      <c r="H539" s="15"/>
      <c r="I539" s="13" t="s">
        <v>26</v>
      </c>
      <c r="J539" s="13" t="s">
        <v>18</v>
      </c>
      <c r="K539" s="16"/>
    </row>
    <row r="540" spans="1:11" ht="28.9">
      <c r="A540" s="17">
        <f>_xlfn.AGGREGATE(3,1,$B$6:B540)</f>
        <v>535</v>
      </c>
      <c r="B540" s="18" t="s">
        <v>741</v>
      </c>
      <c r="C540" s="18" t="s">
        <v>439</v>
      </c>
      <c r="D540" s="21" t="s">
        <v>734</v>
      </c>
      <c r="E540" s="18" t="s">
        <v>742</v>
      </c>
      <c r="F540" s="20">
        <v>45323</v>
      </c>
      <c r="G540" s="18" t="s">
        <v>77</v>
      </c>
      <c r="H540" s="20"/>
      <c r="I540" s="18" t="s">
        <v>17</v>
      </c>
      <c r="J540" s="18" t="s">
        <v>18</v>
      </c>
      <c r="K540" s="21"/>
    </row>
    <row r="541" spans="1:11" ht="72">
      <c r="A541" s="12">
        <f>_xlfn.AGGREGATE(3,1,$B$6:B541)</f>
        <v>536</v>
      </c>
      <c r="B541" s="13" t="s">
        <v>741</v>
      </c>
      <c r="C541" s="13" t="s">
        <v>47</v>
      </c>
      <c r="D541" s="16" t="s">
        <v>743</v>
      </c>
      <c r="E541" s="13" t="s">
        <v>742</v>
      </c>
      <c r="F541" s="15">
        <v>45323</v>
      </c>
      <c r="G541" s="13" t="s">
        <v>16</v>
      </c>
      <c r="H541" s="15"/>
      <c r="I541" s="13" t="s">
        <v>26</v>
      </c>
      <c r="J541" s="13" t="s">
        <v>18</v>
      </c>
      <c r="K541" s="16"/>
    </row>
    <row r="542" spans="1:11" ht="43.15">
      <c r="A542" s="17">
        <f>_xlfn.AGGREGATE(3,1,$B$6:B542)</f>
        <v>537</v>
      </c>
      <c r="B542" s="18" t="s">
        <v>741</v>
      </c>
      <c r="C542" s="18" t="s">
        <v>47</v>
      </c>
      <c r="D542" s="21" t="s">
        <v>744</v>
      </c>
      <c r="E542" s="18" t="s">
        <v>742</v>
      </c>
      <c r="F542" s="20">
        <v>45323</v>
      </c>
      <c r="G542" s="18" t="s">
        <v>77</v>
      </c>
      <c r="H542" s="20"/>
      <c r="I542" s="18" t="s">
        <v>26</v>
      </c>
      <c r="J542" s="18" t="s">
        <v>18</v>
      </c>
      <c r="K542" s="21"/>
    </row>
    <row r="543" spans="1:11" ht="144">
      <c r="A543" s="12">
        <f>_xlfn.AGGREGATE(3,1,$B$6:B543)</f>
        <v>538</v>
      </c>
      <c r="B543" s="13" t="s">
        <v>745</v>
      </c>
      <c r="C543" s="13" t="s">
        <v>47</v>
      </c>
      <c r="D543" s="16" t="s">
        <v>746</v>
      </c>
      <c r="E543" s="13" t="s">
        <v>330</v>
      </c>
      <c r="F543" s="15">
        <v>45338</v>
      </c>
      <c r="G543" s="13" t="s">
        <v>20</v>
      </c>
      <c r="H543" s="15"/>
      <c r="I543" s="13" t="s">
        <v>26</v>
      </c>
      <c r="J543" s="13" t="s">
        <v>18</v>
      </c>
      <c r="K543" s="16" t="s">
        <v>747</v>
      </c>
    </row>
    <row r="544" spans="1:11" ht="100.9">
      <c r="A544" s="17">
        <f>_xlfn.AGGREGATE(3,1,$B$6:B544)</f>
        <v>539</v>
      </c>
      <c r="B544" s="18" t="s">
        <v>748</v>
      </c>
      <c r="C544" s="18" t="s">
        <v>554</v>
      </c>
      <c r="D544" s="21" t="s">
        <v>749</v>
      </c>
      <c r="E544" s="18" t="s">
        <v>382</v>
      </c>
      <c r="F544" s="20">
        <v>45343</v>
      </c>
      <c r="G544" s="18" t="s">
        <v>20</v>
      </c>
      <c r="H544" s="20"/>
      <c r="I544" s="18" t="s">
        <v>26</v>
      </c>
      <c r="J544" s="18" t="s">
        <v>18</v>
      </c>
      <c r="K544" s="21"/>
    </row>
    <row r="545" spans="1:11" ht="57.6">
      <c r="A545" s="12">
        <f>_xlfn.AGGREGATE(3,1,$B$6:B545)</f>
        <v>540</v>
      </c>
      <c r="B545" s="13" t="s">
        <v>748</v>
      </c>
      <c r="C545" s="13" t="s">
        <v>47</v>
      </c>
      <c r="D545" s="16" t="s">
        <v>750</v>
      </c>
      <c r="E545" s="13" t="s">
        <v>38</v>
      </c>
      <c r="F545" s="15">
        <v>45343</v>
      </c>
      <c r="G545" s="13" t="s">
        <v>20</v>
      </c>
      <c r="H545" s="15"/>
      <c r="I545" s="13" t="s">
        <v>26</v>
      </c>
      <c r="J545" s="13" t="s">
        <v>18</v>
      </c>
      <c r="K545" s="16"/>
    </row>
    <row r="546" spans="1:11" ht="28.9">
      <c r="A546" s="17">
        <f>_xlfn.AGGREGATE(3,1,$B$6:B546)</f>
        <v>541</v>
      </c>
      <c r="B546" s="18" t="s">
        <v>748</v>
      </c>
      <c r="C546" s="18" t="s">
        <v>47</v>
      </c>
      <c r="D546" s="21" t="s">
        <v>751</v>
      </c>
      <c r="E546" s="18" t="s">
        <v>42</v>
      </c>
      <c r="F546" s="20">
        <v>45343</v>
      </c>
      <c r="G546" s="20" t="s">
        <v>16</v>
      </c>
      <c r="H546" s="20"/>
      <c r="I546" s="18" t="s">
        <v>26</v>
      </c>
      <c r="J546" s="18" t="s">
        <v>18</v>
      </c>
      <c r="K546" s="21"/>
    </row>
    <row r="547" spans="1:11" ht="28.9">
      <c r="A547" s="12">
        <f>_xlfn.AGGREGATE(3,1,$B$6:B547)</f>
        <v>542</v>
      </c>
      <c r="B547" s="13" t="s">
        <v>748</v>
      </c>
      <c r="C547" s="13" t="s">
        <v>752</v>
      </c>
      <c r="D547" s="16" t="s">
        <v>753</v>
      </c>
      <c r="E547" s="13" t="s">
        <v>42</v>
      </c>
      <c r="F547" s="15">
        <v>45343</v>
      </c>
      <c r="G547" s="15" t="s">
        <v>77</v>
      </c>
      <c r="H547" s="15"/>
      <c r="I547" s="13" t="s">
        <v>17</v>
      </c>
      <c r="J547" s="13" t="s">
        <v>18</v>
      </c>
      <c r="K547" s="16"/>
    </row>
    <row r="548" spans="1:11" ht="57.6">
      <c r="A548" s="17">
        <f>_xlfn.AGGREGATE(3,1,$B$6:B548)</f>
        <v>543</v>
      </c>
      <c r="B548" s="18" t="s">
        <v>748</v>
      </c>
      <c r="C548" s="18" t="s">
        <v>47</v>
      </c>
      <c r="D548" s="21" t="s">
        <v>754</v>
      </c>
      <c r="E548" s="18" t="s">
        <v>388</v>
      </c>
      <c r="F548" s="20">
        <v>45343</v>
      </c>
      <c r="G548" s="20" t="s">
        <v>16</v>
      </c>
      <c r="H548" s="20"/>
      <c r="I548" s="18" t="s">
        <v>17</v>
      </c>
      <c r="J548" s="18" t="s">
        <v>18</v>
      </c>
      <c r="K548" s="21"/>
    </row>
    <row r="549" spans="1:11">
      <c r="A549" s="12">
        <f>_xlfn.AGGREGATE(3,1,$B$6:B549)</f>
        <v>544</v>
      </c>
      <c r="B549" s="13" t="s">
        <v>748</v>
      </c>
      <c r="C549" s="13" t="s">
        <v>47</v>
      </c>
      <c r="D549" s="16" t="s">
        <v>755</v>
      </c>
      <c r="E549" s="13" t="s">
        <v>388</v>
      </c>
      <c r="F549" s="15">
        <v>45343</v>
      </c>
      <c r="G549" s="15" t="s">
        <v>16</v>
      </c>
      <c r="H549" s="15"/>
      <c r="I549" s="13" t="s">
        <v>304</v>
      </c>
      <c r="J549" s="13" t="s">
        <v>18</v>
      </c>
      <c r="K549" s="16"/>
    </row>
    <row r="550" spans="1:11">
      <c r="A550" s="17">
        <f>_xlfn.AGGREGATE(3,1,$B$6:B550)</f>
        <v>545</v>
      </c>
      <c r="B550" s="18" t="s">
        <v>756</v>
      </c>
      <c r="C550" s="18" t="s">
        <v>365</v>
      </c>
      <c r="D550" s="21" t="s">
        <v>757</v>
      </c>
      <c r="E550" s="18" t="s">
        <v>411</v>
      </c>
      <c r="F550" s="20">
        <v>45349</v>
      </c>
      <c r="G550" s="20" t="s">
        <v>16</v>
      </c>
      <c r="H550" s="20"/>
      <c r="I550" s="18" t="s">
        <v>17</v>
      </c>
      <c r="J550" s="18" t="s">
        <v>18</v>
      </c>
      <c r="K550" s="21"/>
    </row>
    <row r="551" spans="1:11" ht="72">
      <c r="A551" s="12">
        <f>_xlfn.AGGREGATE(3,1,$B$6:B551)</f>
        <v>546</v>
      </c>
      <c r="B551" s="13" t="s">
        <v>756</v>
      </c>
      <c r="C551" s="13" t="s">
        <v>47</v>
      </c>
      <c r="D551" s="16" t="s">
        <v>758</v>
      </c>
      <c r="E551" s="13" t="s">
        <v>411</v>
      </c>
      <c r="F551" s="15">
        <v>45349</v>
      </c>
      <c r="G551" s="13" t="s">
        <v>20</v>
      </c>
      <c r="H551" s="15"/>
      <c r="I551" s="13" t="s">
        <v>17</v>
      </c>
      <c r="J551" s="13" t="s">
        <v>18</v>
      </c>
      <c r="K551" s="16"/>
    </row>
    <row r="552" spans="1:11">
      <c r="A552" s="17">
        <f>_xlfn.AGGREGATE(3,1,$B$6:B552)</f>
        <v>547</v>
      </c>
      <c r="B552" s="18" t="s">
        <v>756</v>
      </c>
      <c r="C552" s="18" t="s">
        <v>21</v>
      </c>
      <c r="D552" s="21" t="s">
        <v>759</v>
      </c>
      <c r="E552" s="18" t="s">
        <v>411</v>
      </c>
      <c r="F552" s="20">
        <v>45349</v>
      </c>
      <c r="G552" s="18" t="s">
        <v>16</v>
      </c>
      <c r="H552" s="20"/>
      <c r="I552" s="18" t="s">
        <v>17</v>
      </c>
      <c r="J552" s="18" t="s">
        <v>18</v>
      </c>
      <c r="K552" s="21"/>
    </row>
    <row r="553" spans="1:11" ht="43.15">
      <c r="A553" s="12">
        <f>_xlfn.AGGREGATE(3,1,$B$6:B553)</f>
        <v>548</v>
      </c>
      <c r="B553" s="13" t="s">
        <v>756</v>
      </c>
      <c r="C553" s="13" t="s">
        <v>760</v>
      </c>
      <c r="D553" s="16" t="s">
        <v>761</v>
      </c>
      <c r="E553" s="13" t="s">
        <v>411</v>
      </c>
      <c r="F553" s="15">
        <v>45349</v>
      </c>
      <c r="G553" s="13" t="s">
        <v>16</v>
      </c>
      <c r="H553" s="15"/>
      <c r="I553" s="13" t="s">
        <v>17</v>
      </c>
      <c r="J553" s="13" t="s">
        <v>18</v>
      </c>
      <c r="K553" s="16" t="s">
        <v>762</v>
      </c>
    </row>
    <row r="554" spans="1:11" ht="28.9">
      <c r="A554" s="17">
        <f>_xlfn.AGGREGATE(3,1,$B$6:B554)</f>
        <v>549</v>
      </c>
      <c r="B554" s="18" t="s">
        <v>756</v>
      </c>
      <c r="C554" s="18" t="s">
        <v>75</v>
      </c>
      <c r="D554" s="21" t="s">
        <v>763</v>
      </c>
      <c r="E554" s="18" t="s">
        <v>411</v>
      </c>
      <c r="F554" s="20">
        <v>45349</v>
      </c>
      <c r="G554" s="18" t="s">
        <v>16</v>
      </c>
      <c r="H554" s="20"/>
      <c r="I554" s="18" t="s">
        <v>684</v>
      </c>
      <c r="J554" s="18" t="s">
        <v>305</v>
      </c>
      <c r="K554" s="21"/>
    </row>
    <row r="555" spans="1:11" ht="43.15">
      <c r="A555" s="12">
        <f>_xlfn.AGGREGATE(3,1,$B$6:B555)</f>
        <v>550</v>
      </c>
      <c r="B555" s="13" t="s">
        <v>756</v>
      </c>
      <c r="C555" s="13" t="s">
        <v>47</v>
      </c>
      <c r="D555" s="16" t="s">
        <v>764</v>
      </c>
      <c r="E555" s="13" t="s">
        <v>765</v>
      </c>
      <c r="F555" s="15">
        <v>45349</v>
      </c>
      <c r="G555" s="13" t="s">
        <v>20</v>
      </c>
      <c r="H555" s="15"/>
      <c r="I555" s="13" t="s">
        <v>26</v>
      </c>
      <c r="J555" s="13" t="s">
        <v>18</v>
      </c>
      <c r="K555" s="16" t="s">
        <v>766</v>
      </c>
    </row>
    <row r="556" spans="1:11" ht="28.9">
      <c r="A556" s="17">
        <f>_xlfn.AGGREGATE(3,1,$B$6:B556)</f>
        <v>551</v>
      </c>
      <c r="B556" s="18" t="s">
        <v>756</v>
      </c>
      <c r="C556" s="18" t="s">
        <v>47</v>
      </c>
      <c r="D556" s="21" t="s">
        <v>767</v>
      </c>
      <c r="E556" s="18" t="s">
        <v>765</v>
      </c>
      <c r="F556" s="20">
        <v>45349</v>
      </c>
      <c r="G556" s="18" t="s">
        <v>16</v>
      </c>
      <c r="H556" s="20"/>
      <c r="I556" s="18" t="s">
        <v>26</v>
      </c>
      <c r="J556" s="18" t="s">
        <v>18</v>
      </c>
      <c r="K556" s="21" t="s">
        <v>766</v>
      </c>
    </row>
    <row r="557" spans="1:11" ht="28.9">
      <c r="A557" s="12">
        <f>_xlfn.AGGREGATE(3,1,$B$6:B557)</f>
        <v>552</v>
      </c>
      <c r="B557" s="13" t="s">
        <v>756</v>
      </c>
      <c r="C557" s="13" t="s">
        <v>47</v>
      </c>
      <c r="D557" s="16" t="s">
        <v>768</v>
      </c>
      <c r="E557" s="13" t="s">
        <v>765</v>
      </c>
      <c r="F557" s="15">
        <v>45349</v>
      </c>
      <c r="G557" s="13" t="s">
        <v>16</v>
      </c>
      <c r="H557" s="15"/>
      <c r="I557" s="13" t="s">
        <v>26</v>
      </c>
      <c r="J557" s="13" t="s">
        <v>18</v>
      </c>
      <c r="K557" s="16" t="s">
        <v>766</v>
      </c>
    </row>
    <row r="558" spans="1:11">
      <c r="A558" s="17">
        <f>_xlfn.AGGREGATE(3,1,$B$6:B558)</f>
        <v>553</v>
      </c>
      <c r="B558" s="18" t="s">
        <v>756</v>
      </c>
      <c r="C558" s="18" t="s">
        <v>381</v>
      </c>
      <c r="D558" s="21" t="s">
        <v>576</v>
      </c>
      <c r="E558" s="18" t="s">
        <v>765</v>
      </c>
      <c r="F558" s="20">
        <v>45349</v>
      </c>
      <c r="G558" s="18" t="s">
        <v>16</v>
      </c>
      <c r="H558" s="20"/>
      <c r="I558" s="18" t="s">
        <v>17</v>
      </c>
      <c r="J558" s="18" t="s">
        <v>18</v>
      </c>
      <c r="K558" s="21"/>
    </row>
    <row r="559" spans="1:11">
      <c r="A559" s="12">
        <f>_xlfn.AGGREGATE(3,1,$B$6:B559)</f>
        <v>554</v>
      </c>
      <c r="B559" s="13" t="s">
        <v>769</v>
      </c>
      <c r="C559" s="13" t="s">
        <v>47</v>
      </c>
      <c r="D559" s="16" t="s">
        <v>770</v>
      </c>
      <c r="E559" s="13" t="s">
        <v>393</v>
      </c>
      <c r="F559" s="15">
        <v>45358</v>
      </c>
      <c r="G559" s="13" t="s">
        <v>20</v>
      </c>
      <c r="H559" s="15"/>
      <c r="I559" s="13" t="s">
        <v>26</v>
      </c>
      <c r="J559" s="13" t="s">
        <v>18</v>
      </c>
      <c r="K559" s="16"/>
    </row>
    <row r="560" spans="1:11">
      <c r="A560" s="17">
        <f>_xlfn.AGGREGATE(3,1,$B$6:B560)</f>
        <v>555</v>
      </c>
      <c r="B560" s="18" t="s">
        <v>769</v>
      </c>
      <c r="C560" s="18" t="s">
        <v>47</v>
      </c>
      <c r="D560" s="21" t="s">
        <v>771</v>
      </c>
      <c r="E560" s="18" t="s">
        <v>30</v>
      </c>
      <c r="F560" s="20">
        <v>45358</v>
      </c>
      <c r="G560" s="18" t="s">
        <v>16</v>
      </c>
      <c r="H560" s="20"/>
      <c r="I560" s="18" t="s">
        <v>26</v>
      </c>
      <c r="J560" s="18" t="s">
        <v>18</v>
      </c>
      <c r="K560" s="21" t="s">
        <v>772</v>
      </c>
    </row>
    <row r="561" spans="1:11" ht="28.9">
      <c r="A561" s="12">
        <f>_xlfn.AGGREGATE(3,1,$B$6:B561)</f>
        <v>556</v>
      </c>
      <c r="B561" s="13" t="s">
        <v>769</v>
      </c>
      <c r="C561" s="13" t="s">
        <v>47</v>
      </c>
      <c r="D561" s="16" t="s">
        <v>773</v>
      </c>
      <c r="E561" s="13" t="s">
        <v>330</v>
      </c>
      <c r="F561" s="15">
        <v>45358</v>
      </c>
      <c r="G561" s="13" t="s">
        <v>16</v>
      </c>
      <c r="H561" s="15"/>
      <c r="I561" s="13" t="s">
        <v>304</v>
      </c>
      <c r="J561" s="13" t="s">
        <v>18</v>
      </c>
      <c r="K561" s="16"/>
    </row>
    <row r="562" spans="1:11" ht="43.15">
      <c r="A562" s="17">
        <f>_xlfn.AGGREGATE(3,1,$B$6:B562)</f>
        <v>557</v>
      </c>
      <c r="B562" s="18" t="s">
        <v>774</v>
      </c>
      <c r="C562" s="18" t="s">
        <v>47</v>
      </c>
      <c r="D562" s="21" t="s">
        <v>775</v>
      </c>
      <c r="E562" s="18" t="s">
        <v>382</v>
      </c>
      <c r="F562" s="20">
        <v>45362</v>
      </c>
      <c r="G562" s="18" t="s">
        <v>16</v>
      </c>
      <c r="H562" s="20"/>
      <c r="I562" s="18" t="s">
        <v>26</v>
      </c>
      <c r="J562" s="18" t="s">
        <v>18</v>
      </c>
      <c r="K562" s="21" t="s">
        <v>776</v>
      </c>
    </row>
    <row r="563" spans="1:11" ht="28.9">
      <c r="A563" s="12">
        <f>_xlfn.AGGREGATE(3,1,$B$6:B563)</f>
        <v>558</v>
      </c>
      <c r="B563" s="13" t="s">
        <v>774</v>
      </c>
      <c r="C563" s="13" t="s">
        <v>777</v>
      </c>
      <c r="D563" s="16" t="s">
        <v>778</v>
      </c>
      <c r="E563" s="13" t="s">
        <v>382</v>
      </c>
      <c r="F563" s="15">
        <v>45362</v>
      </c>
      <c r="G563" s="13" t="s">
        <v>16</v>
      </c>
      <c r="H563" s="15"/>
      <c r="I563" s="13" t="s">
        <v>17</v>
      </c>
      <c r="J563" s="13" t="s">
        <v>18</v>
      </c>
      <c r="K563" s="16" t="s">
        <v>779</v>
      </c>
    </row>
    <row r="564" spans="1:11" ht="57.6">
      <c r="A564" s="17">
        <f>_xlfn.AGGREGATE(3,1,$B$6:B564)</f>
        <v>559</v>
      </c>
      <c r="B564" s="18" t="s">
        <v>774</v>
      </c>
      <c r="C564" s="18" t="s">
        <v>47</v>
      </c>
      <c r="D564" s="21" t="s">
        <v>780</v>
      </c>
      <c r="E564" s="18" t="s">
        <v>382</v>
      </c>
      <c r="F564" s="20">
        <v>45362</v>
      </c>
      <c r="G564" s="18" t="s">
        <v>16</v>
      </c>
      <c r="H564" s="20"/>
      <c r="I564" s="18" t="s">
        <v>26</v>
      </c>
      <c r="J564" s="18" t="s">
        <v>18</v>
      </c>
      <c r="K564" s="21"/>
    </row>
    <row r="565" spans="1:11" ht="57.6">
      <c r="A565" s="12">
        <f>_xlfn.AGGREGATE(3,1,$B$6:B565)</f>
        <v>560</v>
      </c>
      <c r="B565" s="13" t="s">
        <v>774</v>
      </c>
      <c r="C565" s="13" t="s">
        <v>47</v>
      </c>
      <c r="D565" s="16" t="s">
        <v>781</v>
      </c>
      <c r="E565" s="13" t="s">
        <v>742</v>
      </c>
      <c r="F565" s="15">
        <v>45362</v>
      </c>
      <c r="G565" s="13" t="s">
        <v>16</v>
      </c>
      <c r="H565" s="15"/>
      <c r="I565" s="13" t="s">
        <v>26</v>
      </c>
      <c r="J565" s="13" t="s">
        <v>18</v>
      </c>
      <c r="K565" s="16"/>
    </row>
    <row r="566" spans="1:11" ht="86.45">
      <c r="A566" s="17">
        <f>_xlfn.AGGREGATE(3,1,$B$6:B566)</f>
        <v>561</v>
      </c>
      <c r="B566" s="18" t="s">
        <v>782</v>
      </c>
      <c r="C566" s="18" t="s">
        <v>47</v>
      </c>
      <c r="D566" s="21" t="s">
        <v>783</v>
      </c>
      <c r="E566" s="18" t="s">
        <v>38</v>
      </c>
      <c r="F566" s="20">
        <v>45371</v>
      </c>
      <c r="G566" s="18" t="s">
        <v>20</v>
      </c>
      <c r="H566" s="20"/>
      <c r="I566" s="18" t="s">
        <v>26</v>
      </c>
      <c r="J566" s="18" t="s">
        <v>18</v>
      </c>
      <c r="K566" s="21"/>
    </row>
    <row r="567" spans="1:11" ht="57.6">
      <c r="A567" s="12">
        <f>_xlfn.AGGREGATE(3,1,$B$6:B567)</f>
        <v>562</v>
      </c>
      <c r="B567" s="13" t="s">
        <v>784</v>
      </c>
      <c r="C567" s="13" t="s">
        <v>47</v>
      </c>
      <c r="D567" s="16" t="s">
        <v>785</v>
      </c>
      <c r="E567" s="13" t="s">
        <v>38</v>
      </c>
      <c r="F567" s="15">
        <v>45373</v>
      </c>
      <c r="G567" s="13" t="s">
        <v>20</v>
      </c>
      <c r="H567" s="15"/>
      <c r="I567" s="13" t="s">
        <v>26</v>
      </c>
      <c r="J567" s="13" t="s">
        <v>18</v>
      </c>
      <c r="K567" s="16"/>
    </row>
    <row r="568" spans="1:11" ht="28.9">
      <c r="A568" s="17">
        <f>_xlfn.AGGREGATE(3,1,$B$6:B568)</f>
        <v>563</v>
      </c>
      <c r="B568" s="18" t="s">
        <v>786</v>
      </c>
      <c r="C568" s="18" t="s">
        <v>75</v>
      </c>
      <c r="D568" s="21" t="s">
        <v>787</v>
      </c>
      <c r="E568" s="18" t="s">
        <v>411</v>
      </c>
      <c r="F568" s="20">
        <v>45397</v>
      </c>
      <c r="G568" s="18" t="s">
        <v>20</v>
      </c>
      <c r="H568" s="20"/>
      <c r="I568" s="18" t="s">
        <v>17</v>
      </c>
      <c r="J568" s="18" t="s">
        <v>18</v>
      </c>
      <c r="K568" s="21"/>
    </row>
    <row r="569" spans="1:11">
      <c r="A569" s="12">
        <f>_xlfn.AGGREGATE(3,1,$B$6:B569)</f>
        <v>564</v>
      </c>
      <c r="B569" s="13" t="s">
        <v>786</v>
      </c>
      <c r="C569" s="13" t="s">
        <v>13</v>
      </c>
      <c r="D569" s="16" t="s">
        <v>788</v>
      </c>
      <c r="E569" s="13" t="s">
        <v>411</v>
      </c>
      <c r="F569" s="15">
        <v>45397</v>
      </c>
      <c r="G569" s="13" t="s">
        <v>16</v>
      </c>
      <c r="H569" s="15"/>
      <c r="I569" s="13" t="s">
        <v>684</v>
      </c>
      <c r="J569" s="13" t="s">
        <v>305</v>
      </c>
      <c r="K569" s="16"/>
    </row>
    <row r="570" spans="1:11" ht="57.6">
      <c r="A570" s="17">
        <f>_xlfn.AGGREGATE(3,1,$B$6:B570)</f>
        <v>565</v>
      </c>
      <c r="B570" s="18" t="s">
        <v>786</v>
      </c>
      <c r="C570" s="18" t="s">
        <v>47</v>
      </c>
      <c r="D570" s="21" t="s">
        <v>789</v>
      </c>
      <c r="E570" s="18" t="s">
        <v>765</v>
      </c>
      <c r="F570" s="20">
        <v>45397</v>
      </c>
      <c r="G570" s="18" t="s">
        <v>16</v>
      </c>
      <c r="H570" s="20"/>
      <c r="I570" s="18" t="s">
        <v>26</v>
      </c>
      <c r="J570" s="18" t="s">
        <v>18</v>
      </c>
      <c r="K570" s="21" t="s">
        <v>766</v>
      </c>
    </row>
    <row r="571" spans="1:11" ht="28.9">
      <c r="A571" s="12">
        <f>_xlfn.AGGREGATE(3,1,$B$6:B571)</f>
        <v>566</v>
      </c>
      <c r="B571" s="13" t="s">
        <v>786</v>
      </c>
      <c r="C571" s="13" t="s">
        <v>47</v>
      </c>
      <c r="D571" s="16" t="s">
        <v>790</v>
      </c>
      <c r="E571" s="13" t="s">
        <v>765</v>
      </c>
      <c r="F571" s="15">
        <v>45397</v>
      </c>
      <c r="G571" s="13" t="s">
        <v>16</v>
      </c>
      <c r="H571" s="15"/>
      <c r="I571" s="13" t="s">
        <v>26</v>
      </c>
      <c r="J571" s="13" t="s">
        <v>18</v>
      </c>
      <c r="K571" s="16" t="s">
        <v>766</v>
      </c>
    </row>
    <row r="572" spans="1:11">
      <c r="A572" s="17">
        <f>_xlfn.AGGREGATE(3,1,$B$6:B572)</f>
        <v>567</v>
      </c>
      <c r="B572" s="18" t="s">
        <v>786</v>
      </c>
      <c r="C572" s="18" t="s">
        <v>114</v>
      </c>
      <c r="D572" s="21" t="s">
        <v>791</v>
      </c>
      <c r="E572" s="18" t="s">
        <v>765</v>
      </c>
      <c r="F572" s="20">
        <v>45397</v>
      </c>
      <c r="G572" s="18" t="s">
        <v>16</v>
      </c>
      <c r="H572" s="20"/>
      <c r="I572" s="18" t="s">
        <v>684</v>
      </c>
      <c r="J572" s="18" t="s">
        <v>305</v>
      </c>
      <c r="K572" s="21"/>
    </row>
    <row r="573" spans="1:11" ht="86.45">
      <c r="A573" s="12">
        <f>_xlfn.AGGREGATE(3,1,$B$6:B573)</f>
        <v>568</v>
      </c>
      <c r="B573" s="13" t="s">
        <v>792</v>
      </c>
      <c r="C573" s="13" t="s">
        <v>47</v>
      </c>
      <c r="D573" s="16" t="s">
        <v>793</v>
      </c>
      <c r="E573" s="13" t="s">
        <v>38</v>
      </c>
      <c r="F573" s="15">
        <v>45413</v>
      </c>
      <c r="G573" s="13" t="s">
        <v>20</v>
      </c>
      <c r="H573" s="15"/>
      <c r="I573" s="13" t="s">
        <v>26</v>
      </c>
      <c r="J573" s="13" t="s">
        <v>18</v>
      </c>
      <c r="K573" s="16"/>
    </row>
    <row r="574" spans="1:11" ht="43.15">
      <c r="A574" s="17">
        <f>_xlfn.AGGREGATE(3,1,$B$6:B574)</f>
        <v>569</v>
      </c>
      <c r="B574" s="18" t="s">
        <v>792</v>
      </c>
      <c r="C574" s="18" t="s">
        <v>296</v>
      </c>
      <c r="D574" s="21" t="s">
        <v>794</v>
      </c>
      <c r="E574" s="18" t="s">
        <v>38</v>
      </c>
      <c r="F574" s="20">
        <v>45413</v>
      </c>
      <c r="G574" s="18" t="s">
        <v>16</v>
      </c>
      <c r="H574" s="20"/>
      <c r="I574" s="18" t="s">
        <v>17</v>
      </c>
      <c r="J574" s="18" t="s">
        <v>18</v>
      </c>
      <c r="K574" s="21" t="s">
        <v>795</v>
      </c>
    </row>
    <row r="575" spans="1:11" ht="28.9">
      <c r="A575" s="12">
        <f>_xlfn.AGGREGATE(3,1,$B$6:B575)</f>
        <v>570</v>
      </c>
      <c r="B575" s="13" t="s">
        <v>792</v>
      </c>
      <c r="C575" s="13" t="s">
        <v>47</v>
      </c>
      <c r="D575" s="16" t="s">
        <v>796</v>
      </c>
      <c r="E575" s="13" t="s">
        <v>38</v>
      </c>
      <c r="F575" s="15">
        <v>45413</v>
      </c>
      <c r="G575" s="13" t="s">
        <v>16</v>
      </c>
      <c r="H575" s="15"/>
      <c r="I575" s="13" t="s">
        <v>17</v>
      </c>
      <c r="J575" s="13" t="s">
        <v>18</v>
      </c>
      <c r="K575" s="16"/>
    </row>
    <row r="576" spans="1:11">
      <c r="A576" s="17">
        <f>_xlfn.AGGREGATE(3,1,$B$6:B576)</f>
        <v>571</v>
      </c>
      <c r="B576" s="18" t="s">
        <v>797</v>
      </c>
      <c r="C576" s="18" t="s">
        <v>140</v>
      </c>
      <c r="D576" s="21" t="s">
        <v>798</v>
      </c>
      <c r="E576" s="18" t="s">
        <v>382</v>
      </c>
      <c r="F576" s="20">
        <v>45420</v>
      </c>
      <c r="G576" s="18" t="s">
        <v>77</v>
      </c>
      <c r="H576" s="20"/>
      <c r="I576" s="18" t="s">
        <v>17</v>
      </c>
      <c r="J576" s="18" t="s">
        <v>18</v>
      </c>
      <c r="K576" s="21"/>
    </row>
    <row r="577" spans="1:11" ht="43.15">
      <c r="A577" s="12">
        <f>_xlfn.AGGREGATE(3,1,$B$6:B577)</f>
        <v>572</v>
      </c>
      <c r="B577" s="13" t="s">
        <v>797</v>
      </c>
      <c r="C577" s="13" t="s">
        <v>47</v>
      </c>
      <c r="D577" s="16" t="s">
        <v>799</v>
      </c>
      <c r="E577" s="13" t="s">
        <v>382</v>
      </c>
      <c r="F577" s="15">
        <v>45420</v>
      </c>
      <c r="G577" s="13" t="s">
        <v>16</v>
      </c>
      <c r="H577" s="15"/>
      <c r="I577" s="13" t="s">
        <v>26</v>
      </c>
      <c r="J577" s="13" t="s">
        <v>18</v>
      </c>
      <c r="K577" s="16"/>
    </row>
    <row r="578" spans="1:11" ht="28.9">
      <c r="A578" s="17">
        <f>_xlfn.AGGREGATE(3,1,$B$6:B578)</f>
        <v>573</v>
      </c>
      <c r="B578" s="18" t="s">
        <v>797</v>
      </c>
      <c r="C578" s="18" t="s">
        <v>47</v>
      </c>
      <c r="D578" s="21" t="s">
        <v>800</v>
      </c>
      <c r="E578" s="18" t="s">
        <v>742</v>
      </c>
      <c r="F578" s="20">
        <v>45420</v>
      </c>
      <c r="G578" s="18" t="s">
        <v>16</v>
      </c>
      <c r="H578" s="20"/>
      <c r="I578" s="18" t="s">
        <v>304</v>
      </c>
      <c r="J578" s="18" t="s">
        <v>18</v>
      </c>
      <c r="K578" s="21"/>
    </row>
    <row r="579" spans="1:11" ht="28.9">
      <c r="A579" s="12">
        <f>_xlfn.AGGREGATE(3,1,$B$6:B579)</f>
        <v>574</v>
      </c>
      <c r="B579" s="13" t="s">
        <v>797</v>
      </c>
      <c r="C579" s="13" t="s">
        <v>47</v>
      </c>
      <c r="D579" s="16" t="s">
        <v>801</v>
      </c>
      <c r="E579" s="13" t="s">
        <v>742</v>
      </c>
      <c r="F579" s="15">
        <v>45420</v>
      </c>
      <c r="G579" s="13" t="s">
        <v>16</v>
      </c>
      <c r="H579" s="15"/>
      <c r="I579" s="13" t="s">
        <v>304</v>
      </c>
      <c r="J579" s="13" t="s">
        <v>18</v>
      </c>
      <c r="K579" s="16"/>
    </row>
    <row r="580" spans="1:11" ht="43.15">
      <c r="A580" s="17">
        <f>_xlfn.AGGREGATE(3,1,$B$6:B580)</f>
        <v>575</v>
      </c>
      <c r="B580" s="18" t="s">
        <v>802</v>
      </c>
      <c r="C580" s="18" t="s">
        <v>123</v>
      </c>
      <c r="D580" s="21" t="s">
        <v>803</v>
      </c>
      <c r="E580" s="18" t="s">
        <v>411</v>
      </c>
      <c r="F580" s="20">
        <v>45439</v>
      </c>
      <c r="G580" s="18" t="s">
        <v>20</v>
      </c>
      <c r="H580" s="20"/>
      <c r="I580" s="18" t="s">
        <v>17</v>
      </c>
      <c r="J580" s="18" t="s">
        <v>18</v>
      </c>
      <c r="K580" s="21"/>
    </row>
    <row r="581" spans="1:11" ht="72">
      <c r="A581" s="12">
        <f>_xlfn.AGGREGATE(3,1,$B$6:B581)</f>
        <v>576</v>
      </c>
      <c r="B581" s="13" t="s">
        <v>802</v>
      </c>
      <c r="C581" s="13" t="s">
        <v>47</v>
      </c>
      <c r="D581" s="16" t="s">
        <v>804</v>
      </c>
      <c r="E581" s="13" t="s">
        <v>411</v>
      </c>
      <c r="F581" s="15">
        <v>45439</v>
      </c>
      <c r="G581" s="13" t="s">
        <v>16</v>
      </c>
      <c r="H581" s="15"/>
      <c r="I581" s="13" t="s">
        <v>26</v>
      </c>
      <c r="J581" s="13" t="s">
        <v>18</v>
      </c>
      <c r="K581" s="16"/>
    </row>
    <row r="582" spans="1:11" ht="43.15">
      <c r="A582" s="17">
        <f>_xlfn.AGGREGATE(3,1,$B$6:B582)</f>
        <v>577</v>
      </c>
      <c r="B582" s="18" t="s">
        <v>802</v>
      </c>
      <c r="C582" s="18" t="s">
        <v>47</v>
      </c>
      <c r="D582" s="21" t="s">
        <v>805</v>
      </c>
      <c r="E582" s="18" t="s">
        <v>411</v>
      </c>
      <c r="F582" s="20">
        <v>45439</v>
      </c>
      <c r="G582" s="18" t="s">
        <v>16</v>
      </c>
      <c r="H582" s="20"/>
      <c r="I582" s="18" t="s">
        <v>26</v>
      </c>
      <c r="J582" s="18" t="s">
        <v>18</v>
      </c>
      <c r="K582" s="21"/>
    </row>
    <row r="583" spans="1:11" ht="28.9">
      <c r="A583" s="12">
        <f>_xlfn.AGGREGATE(3,1,$B$6:B583)</f>
        <v>578</v>
      </c>
      <c r="B583" s="13" t="s">
        <v>802</v>
      </c>
      <c r="C583" s="13" t="s">
        <v>47</v>
      </c>
      <c r="D583" s="16" t="s">
        <v>806</v>
      </c>
      <c r="E583" s="13" t="s">
        <v>411</v>
      </c>
      <c r="F583" s="15">
        <v>45439</v>
      </c>
      <c r="G583" s="13" t="s">
        <v>20</v>
      </c>
      <c r="H583" s="15"/>
      <c r="I583" s="13" t="s">
        <v>304</v>
      </c>
      <c r="J583" s="13" t="s">
        <v>18</v>
      </c>
      <c r="K583" s="16"/>
    </row>
    <row r="584" spans="1:11" ht="28.9">
      <c r="A584" s="17">
        <f>_xlfn.AGGREGATE(3,1,$B$6:B584)</f>
        <v>579</v>
      </c>
      <c r="B584" s="18" t="s">
        <v>802</v>
      </c>
      <c r="C584" s="18" t="s">
        <v>47</v>
      </c>
      <c r="D584" s="21" t="s">
        <v>807</v>
      </c>
      <c r="E584" s="18" t="s">
        <v>411</v>
      </c>
      <c r="F584" s="20">
        <v>45439</v>
      </c>
      <c r="G584" s="18" t="s">
        <v>16</v>
      </c>
      <c r="H584" s="20"/>
      <c r="I584" s="18" t="s">
        <v>26</v>
      </c>
      <c r="J584" s="18" t="s">
        <v>18</v>
      </c>
      <c r="K584" s="21"/>
    </row>
    <row r="585" spans="1:11" ht="43.15">
      <c r="A585" s="12">
        <f>_xlfn.AGGREGATE(3,1,$B$6:B585)</f>
        <v>580</v>
      </c>
      <c r="B585" s="13" t="s">
        <v>808</v>
      </c>
      <c r="C585" s="13" t="s">
        <v>140</v>
      </c>
      <c r="D585" s="16" t="s">
        <v>809</v>
      </c>
      <c r="E585" s="13" t="s">
        <v>42</v>
      </c>
      <c r="F585" s="15">
        <v>45440</v>
      </c>
      <c r="G585" s="13" t="s">
        <v>77</v>
      </c>
      <c r="H585" s="15"/>
      <c r="I585" s="13" t="s">
        <v>17</v>
      </c>
      <c r="J585" s="13" t="s">
        <v>18</v>
      </c>
      <c r="K585" s="16"/>
    </row>
    <row r="586" spans="1:11" ht="28.9">
      <c r="A586" s="17">
        <f>_xlfn.AGGREGATE(3,1,$B$6:B586)</f>
        <v>581</v>
      </c>
      <c r="B586" s="18" t="s">
        <v>808</v>
      </c>
      <c r="C586" s="18" t="s">
        <v>47</v>
      </c>
      <c r="D586" s="21" t="s">
        <v>810</v>
      </c>
      <c r="E586" s="18" t="s">
        <v>42</v>
      </c>
      <c r="F586" s="20">
        <v>45440</v>
      </c>
      <c r="G586" s="18" t="s">
        <v>16</v>
      </c>
      <c r="H586" s="20"/>
      <c r="I586" s="18" t="s">
        <v>304</v>
      </c>
      <c r="J586" s="18" t="s">
        <v>18</v>
      </c>
      <c r="K586" s="21"/>
    </row>
    <row r="587" spans="1:11" ht="28.9">
      <c r="A587" s="12">
        <f>_xlfn.AGGREGATE(3,1,$B$6:B587)</f>
        <v>582</v>
      </c>
      <c r="B587" s="13" t="s">
        <v>811</v>
      </c>
      <c r="C587" s="13" t="s">
        <v>47</v>
      </c>
      <c r="D587" s="16" t="s">
        <v>812</v>
      </c>
      <c r="E587" s="13" t="s">
        <v>813</v>
      </c>
      <c r="F587" s="15">
        <v>45492</v>
      </c>
      <c r="G587" s="13" t="s">
        <v>16</v>
      </c>
      <c r="H587" s="15"/>
      <c r="I587" s="13" t="s">
        <v>304</v>
      </c>
      <c r="J587" s="13" t="s">
        <v>305</v>
      </c>
      <c r="K587" s="16" t="s">
        <v>776</v>
      </c>
    </row>
    <row r="588" spans="1:11" ht="28.9">
      <c r="A588" s="17">
        <f>_xlfn.AGGREGATE(3,1,$B$6:B588)</f>
        <v>583</v>
      </c>
      <c r="B588" s="18" t="s">
        <v>811</v>
      </c>
      <c r="C588" s="18" t="s">
        <v>47</v>
      </c>
      <c r="D588" s="21" t="s">
        <v>814</v>
      </c>
      <c r="E588" s="18" t="s">
        <v>813</v>
      </c>
      <c r="F588" s="20">
        <v>45492</v>
      </c>
      <c r="G588" s="18" t="s">
        <v>16</v>
      </c>
      <c r="H588" s="20"/>
      <c r="I588" s="18" t="s">
        <v>304</v>
      </c>
      <c r="J588" s="18" t="s">
        <v>305</v>
      </c>
      <c r="K588" s="21" t="s">
        <v>776</v>
      </c>
    </row>
    <row r="589" spans="1:11" ht="28.9">
      <c r="A589" s="12">
        <f>_xlfn.AGGREGATE(3,1,$B$6:B589)</f>
        <v>584</v>
      </c>
      <c r="B589" s="13" t="s">
        <v>811</v>
      </c>
      <c r="C589" s="13" t="s">
        <v>47</v>
      </c>
      <c r="D589" s="16" t="s">
        <v>815</v>
      </c>
      <c r="E589" s="13" t="s">
        <v>813</v>
      </c>
      <c r="F589" s="15">
        <v>45492</v>
      </c>
      <c r="G589" s="13" t="s">
        <v>16</v>
      </c>
      <c r="H589" s="15"/>
      <c r="I589" s="13" t="s">
        <v>304</v>
      </c>
      <c r="J589" s="13" t="s">
        <v>18</v>
      </c>
      <c r="K589" s="16" t="s">
        <v>776</v>
      </c>
    </row>
    <row r="590" spans="1:11" ht="28.9">
      <c r="A590" s="17">
        <f>_xlfn.AGGREGATE(3,1,$B$6:B590)</f>
        <v>585</v>
      </c>
      <c r="B590" s="18" t="s">
        <v>811</v>
      </c>
      <c r="C590" s="18" t="s">
        <v>136</v>
      </c>
      <c r="D590" s="21" t="s">
        <v>816</v>
      </c>
      <c r="E590" s="18" t="s">
        <v>411</v>
      </c>
      <c r="F590" s="20">
        <v>45492</v>
      </c>
      <c r="G590" s="18" t="s">
        <v>20</v>
      </c>
      <c r="H590" s="20"/>
      <c r="I590" s="18" t="s">
        <v>26</v>
      </c>
      <c r="J590" s="18" t="s">
        <v>18</v>
      </c>
      <c r="K590" s="21"/>
    </row>
    <row r="591" spans="1:11" ht="86.45">
      <c r="A591" s="12">
        <f>_xlfn.AGGREGATE(3,1,$B$6:B591)</f>
        <v>586</v>
      </c>
      <c r="B591" s="13" t="s">
        <v>811</v>
      </c>
      <c r="C591" s="13" t="s">
        <v>47</v>
      </c>
      <c r="D591" s="16" t="s">
        <v>817</v>
      </c>
      <c r="E591" s="13" t="s">
        <v>411</v>
      </c>
      <c r="F591" s="15">
        <v>45492</v>
      </c>
      <c r="G591" s="13" t="s">
        <v>16</v>
      </c>
      <c r="H591" s="15"/>
      <c r="I591" s="13" t="s">
        <v>26</v>
      </c>
      <c r="J591" s="13" t="s">
        <v>18</v>
      </c>
      <c r="K591" s="16"/>
    </row>
    <row r="592" spans="1:11" ht="28.9">
      <c r="A592" s="17">
        <f>_xlfn.AGGREGATE(3,1,$B$6:B592)</f>
        <v>587</v>
      </c>
      <c r="B592" s="18" t="s">
        <v>811</v>
      </c>
      <c r="C592" s="18" t="s">
        <v>47</v>
      </c>
      <c r="D592" s="21" t="s">
        <v>818</v>
      </c>
      <c r="E592" s="18" t="s">
        <v>411</v>
      </c>
      <c r="F592" s="20">
        <v>45492</v>
      </c>
      <c r="G592" s="18" t="s">
        <v>20</v>
      </c>
      <c r="H592" s="20"/>
      <c r="I592" s="18" t="s">
        <v>26</v>
      </c>
      <c r="J592" s="18" t="s">
        <v>18</v>
      </c>
      <c r="K592" s="21"/>
    </row>
    <row r="593" spans="1:11" ht="57.6">
      <c r="A593" s="12">
        <f>_xlfn.AGGREGATE(3,1,$B$6:B593)</f>
        <v>588</v>
      </c>
      <c r="B593" s="13" t="s">
        <v>819</v>
      </c>
      <c r="C593" s="13" t="s">
        <v>47</v>
      </c>
      <c r="D593" s="16" t="s">
        <v>820</v>
      </c>
      <c r="E593" s="13" t="s">
        <v>38</v>
      </c>
      <c r="F593" s="15">
        <v>45497</v>
      </c>
      <c r="G593" s="13" t="s">
        <v>20</v>
      </c>
      <c r="H593" s="15"/>
      <c r="I593" s="13" t="s">
        <v>26</v>
      </c>
      <c r="J593" s="13" t="s">
        <v>18</v>
      </c>
      <c r="K593" s="16"/>
    </row>
    <row r="594" spans="1:11" ht="28.9">
      <c r="A594" s="17">
        <f>_xlfn.AGGREGATE(3,1,$B$6:B594)</f>
        <v>589</v>
      </c>
      <c r="B594" s="18" t="s">
        <v>819</v>
      </c>
      <c r="C594" s="18" t="s">
        <v>47</v>
      </c>
      <c r="D594" s="21" t="s">
        <v>821</v>
      </c>
      <c r="E594" s="18" t="s">
        <v>38</v>
      </c>
      <c r="F594" s="20">
        <v>45497</v>
      </c>
      <c r="G594" s="18" t="s">
        <v>20</v>
      </c>
      <c r="H594" s="20"/>
      <c r="I594" s="18" t="s">
        <v>26</v>
      </c>
      <c r="J594" s="18" t="s">
        <v>18</v>
      </c>
      <c r="K594" s="21" t="s">
        <v>822</v>
      </c>
    </row>
    <row r="595" spans="1:11" ht="28.9">
      <c r="A595" s="12">
        <f>_xlfn.AGGREGATE(3,1,$B$6:B595)</f>
        <v>590</v>
      </c>
      <c r="B595" s="13" t="s">
        <v>819</v>
      </c>
      <c r="C595" s="13" t="s">
        <v>47</v>
      </c>
      <c r="D595" s="16" t="s">
        <v>823</v>
      </c>
      <c r="E595" s="13" t="s">
        <v>38</v>
      </c>
      <c r="F595" s="15">
        <v>45497</v>
      </c>
      <c r="G595" s="13" t="s">
        <v>16</v>
      </c>
      <c r="H595" s="15"/>
      <c r="I595" s="13" t="s">
        <v>26</v>
      </c>
      <c r="J595" s="13" t="s">
        <v>18</v>
      </c>
      <c r="K595" s="16" t="s">
        <v>822</v>
      </c>
    </row>
    <row r="596" spans="1:11" ht="43.15">
      <c r="A596" s="17">
        <f>_xlfn.AGGREGATE(3,1,$B$6:B596)</f>
        <v>591</v>
      </c>
      <c r="B596" s="18" t="s">
        <v>824</v>
      </c>
      <c r="C596" s="18" t="s">
        <v>365</v>
      </c>
      <c r="D596" s="21" t="s">
        <v>825</v>
      </c>
      <c r="E596" s="18" t="s">
        <v>183</v>
      </c>
      <c r="F596" s="20">
        <v>45547</v>
      </c>
      <c r="G596" s="18" t="s">
        <v>20</v>
      </c>
      <c r="H596" s="20"/>
      <c r="I596" s="18" t="s">
        <v>17</v>
      </c>
      <c r="J596" s="18" t="s">
        <v>18</v>
      </c>
      <c r="K596" s="21" t="s">
        <v>826</v>
      </c>
    </row>
    <row r="597" spans="1:11" ht="43.15">
      <c r="A597" s="12">
        <f>_xlfn.AGGREGATE(3,1,$B$6:B597)</f>
        <v>592</v>
      </c>
      <c r="B597" s="13" t="s">
        <v>824</v>
      </c>
      <c r="C597" s="13" t="s">
        <v>63</v>
      </c>
      <c r="D597" s="16" t="s">
        <v>827</v>
      </c>
      <c r="E597" s="13" t="s">
        <v>183</v>
      </c>
      <c r="F597" s="15">
        <v>45547</v>
      </c>
      <c r="G597" s="13" t="s">
        <v>16</v>
      </c>
      <c r="H597" s="15"/>
      <c r="I597" s="13" t="s">
        <v>17</v>
      </c>
      <c r="J597" s="13" t="s">
        <v>18</v>
      </c>
      <c r="K597" s="16"/>
    </row>
    <row r="598" spans="1:11" ht="28.9">
      <c r="A598" s="17">
        <f>_xlfn.AGGREGATE(3,1,$B$6:B598)</f>
        <v>593</v>
      </c>
      <c r="B598" s="18" t="s">
        <v>828</v>
      </c>
      <c r="C598" s="18" t="s">
        <v>47</v>
      </c>
      <c r="D598" s="21" t="s">
        <v>829</v>
      </c>
      <c r="E598" s="18" t="s">
        <v>411</v>
      </c>
      <c r="F598" s="20">
        <v>45554</v>
      </c>
      <c r="G598" s="18" t="s">
        <v>20</v>
      </c>
      <c r="H598" s="20"/>
      <c r="I598" s="18" t="s">
        <v>26</v>
      </c>
      <c r="J598" s="18" t="s">
        <v>18</v>
      </c>
      <c r="K598" s="21" t="s">
        <v>830</v>
      </c>
    </row>
    <row r="599" spans="1:11">
      <c r="A599" s="12">
        <f>_xlfn.AGGREGATE(3,1,$B$6:B599)</f>
        <v>594</v>
      </c>
      <c r="B599" s="13" t="s">
        <v>828</v>
      </c>
      <c r="C599" s="13" t="s">
        <v>831</v>
      </c>
      <c r="D599" s="16" t="s">
        <v>832</v>
      </c>
      <c r="E599" s="13" t="s">
        <v>411</v>
      </c>
      <c r="F599" s="15">
        <v>45554</v>
      </c>
      <c r="G599" s="13" t="s">
        <v>20</v>
      </c>
      <c r="H599" s="15"/>
      <c r="I599" s="13" t="s">
        <v>17</v>
      </c>
      <c r="J599" s="13" t="s">
        <v>18</v>
      </c>
      <c r="K599" s="16"/>
    </row>
    <row r="600" spans="1:11" ht="28.9">
      <c r="A600" s="17">
        <f>_xlfn.AGGREGATE(3,1,$B$6:B600)</f>
        <v>595</v>
      </c>
      <c r="B600" s="18" t="s">
        <v>828</v>
      </c>
      <c r="C600" s="18" t="s">
        <v>47</v>
      </c>
      <c r="D600" s="21" t="s">
        <v>833</v>
      </c>
      <c r="E600" s="18" t="s">
        <v>411</v>
      </c>
      <c r="F600" s="20">
        <v>45554</v>
      </c>
      <c r="G600" s="18" t="s">
        <v>20</v>
      </c>
      <c r="H600" s="20"/>
      <c r="I600" s="18" t="s">
        <v>26</v>
      </c>
      <c r="J600" s="18" t="s">
        <v>18</v>
      </c>
      <c r="K600" s="21" t="s">
        <v>834</v>
      </c>
    </row>
    <row r="601" spans="1:11" ht="28.9">
      <c r="A601" s="12">
        <f>_xlfn.AGGREGATE(3,1,$B$6:B601)</f>
        <v>596</v>
      </c>
      <c r="B601" s="13" t="s">
        <v>828</v>
      </c>
      <c r="C601" s="13" t="s">
        <v>47</v>
      </c>
      <c r="D601" s="16" t="s">
        <v>835</v>
      </c>
      <c r="E601" s="13" t="s">
        <v>411</v>
      </c>
      <c r="F601" s="15">
        <v>45554</v>
      </c>
      <c r="G601" s="13" t="s">
        <v>16</v>
      </c>
      <c r="H601" s="15"/>
      <c r="I601" s="13" t="s">
        <v>26</v>
      </c>
      <c r="J601" s="13" t="s">
        <v>18</v>
      </c>
      <c r="K601" s="16"/>
    </row>
    <row r="602" spans="1:11" ht="43.15">
      <c r="A602" s="17">
        <f>_xlfn.AGGREGATE(3,1,$B$6:B602)</f>
        <v>597</v>
      </c>
      <c r="B602" s="18" t="s">
        <v>828</v>
      </c>
      <c r="C602" s="18" t="s">
        <v>47</v>
      </c>
      <c r="D602" s="21" t="s">
        <v>836</v>
      </c>
      <c r="E602" s="18" t="s">
        <v>411</v>
      </c>
      <c r="F602" s="20">
        <v>45554</v>
      </c>
      <c r="G602" s="18" t="s">
        <v>16</v>
      </c>
      <c r="H602" s="20"/>
      <c r="I602" s="18" t="s">
        <v>26</v>
      </c>
      <c r="J602" s="18" t="s">
        <v>18</v>
      </c>
      <c r="K602" s="21" t="s">
        <v>776</v>
      </c>
    </row>
    <row r="603" spans="1:11" ht="43.15">
      <c r="A603" s="12">
        <f>_xlfn.AGGREGATE(3,1,$B$6:B603)</f>
        <v>598</v>
      </c>
      <c r="B603" s="13" t="s">
        <v>837</v>
      </c>
      <c r="C603" s="13" t="s">
        <v>47</v>
      </c>
      <c r="D603" s="16" t="s">
        <v>838</v>
      </c>
      <c r="E603" s="13" t="s">
        <v>183</v>
      </c>
      <c r="F603" s="15">
        <v>45566</v>
      </c>
      <c r="G603" s="13" t="s">
        <v>20</v>
      </c>
      <c r="H603" s="15"/>
      <c r="I603" s="13" t="s">
        <v>684</v>
      </c>
      <c r="J603" s="13" t="s">
        <v>305</v>
      </c>
      <c r="K603" s="16"/>
    </row>
    <row r="604" spans="1:11" ht="43.15">
      <c r="A604" s="17">
        <f>_xlfn.AGGREGATE(3,1,$B$6:B604)</f>
        <v>599</v>
      </c>
      <c r="B604" s="18" t="s">
        <v>839</v>
      </c>
      <c r="C604" s="18" t="s">
        <v>47</v>
      </c>
      <c r="D604" s="21" t="s">
        <v>840</v>
      </c>
      <c r="E604" s="18" t="s">
        <v>183</v>
      </c>
      <c r="F604" s="20">
        <v>45568</v>
      </c>
      <c r="G604" s="18" t="s">
        <v>20</v>
      </c>
      <c r="H604" s="20"/>
      <c r="I604" s="18" t="s">
        <v>684</v>
      </c>
      <c r="J604" s="18" t="s">
        <v>305</v>
      </c>
      <c r="K604" s="21"/>
    </row>
    <row r="605" spans="1:11" ht="43.15">
      <c r="A605" s="12">
        <f>_xlfn.AGGREGATE(3,1,$B$6:B605)</f>
        <v>600</v>
      </c>
      <c r="B605" s="13" t="s">
        <v>839</v>
      </c>
      <c r="C605" s="13" t="s">
        <v>47</v>
      </c>
      <c r="D605" s="16" t="s">
        <v>841</v>
      </c>
      <c r="E605" s="13" t="s">
        <v>183</v>
      </c>
      <c r="F605" s="15">
        <v>45568</v>
      </c>
      <c r="G605" s="13" t="s">
        <v>16</v>
      </c>
      <c r="H605" s="15"/>
      <c r="I605" s="13" t="s">
        <v>684</v>
      </c>
      <c r="J605" s="13" t="s">
        <v>305</v>
      </c>
      <c r="K605" s="16"/>
    </row>
    <row r="606" spans="1:11" ht="28.9">
      <c r="A606" s="17">
        <f>_xlfn.AGGREGATE(3,1,$B$6:B606)</f>
        <v>601</v>
      </c>
      <c r="B606" s="18" t="s">
        <v>839</v>
      </c>
      <c r="C606" s="18" t="s">
        <v>47</v>
      </c>
      <c r="D606" s="21" t="s">
        <v>842</v>
      </c>
      <c r="E606" s="18" t="s">
        <v>183</v>
      </c>
      <c r="F606" s="20">
        <v>45568</v>
      </c>
      <c r="G606" s="18" t="s">
        <v>16</v>
      </c>
      <c r="H606" s="20"/>
      <c r="I606" s="18" t="s">
        <v>684</v>
      </c>
      <c r="J606" s="18" t="s">
        <v>305</v>
      </c>
      <c r="K606" s="21"/>
    </row>
    <row r="607" spans="1:11" ht="43.15">
      <c r="A607" s="12">
        <f>_xlfn.AGGREGATE(3,1,$B$6:B607)</f>
        <v>602</v>
      </c>
      <c r="B607" s="13" t="s">
        <v>839</v>
      </c>
      <c r="C607" s="13" t="s">
        <v>47</v>
      </c>
      <c r="D607" s="16" t="s">
        <v>843</v>
      </c>
      <c r="E607" s="13" t="s">
        <v>183</v>
      </c>
      <c r="F607" s="15">
        <v>45568</v>
      </c>
      <c r="G607" s="13" t="s">
        <v>16</v>
      </c>
      <c r="H607" s="15"/>
      <c r="I607" s="13" t="s">
        <v>684</v>
      </c>
      <c r="J607" s="13" t="s">
        <v>305</v>
      </c>
      <c r="K607" s="16"/>
    </row>
    <row r="608" spans="1:11" ht="43.15">
      <c r="A608" s="17">
        <f>_xlfn.AGGREGATE(3,1,$B$6:B608)</f>
        <v>603</v>
      </c>
      <c r="B608" s="18" t="s">
        <v>839</v>
      </c>
      <c r="C608" s="18" t="s">
        <v>47</v>
      </c>
      <c r="D608" s="21" t="s">
        <v>844</v>
      </c>
      <c r="E608" s="18" t="s">
        <v>183</v>
      </c>
      <c r="F608" s="20">
        <v>45568</v>
      </c>
      <c r="G608" s="18" t="s">
        <v>20</v>
      </c>
      <c r="H608" s="20"/>
      <c r="I608" s="18" t="s">
        <v>684</v>
      </c>
      <c r="J608" s="18" t="s">
        <v>305</v>
      </c>
      <c r="K608" s="21"/>
    </row>
    <row r="609" spans="1:11" ht="43.15">
      <c r="A609" s="12">
        <f>_xlfn.AGGREGATE(3,1,$B$6:B609)</f>
        <v>604</v>
      </c>
      <c r="B609" s="13" t="s">
        <v>845</v>
      </c>
      <c r="C609" s="13" t="s">
        <v>47</v>
      </c>
      <c r="D609" s="16" t="s">
        <v>846</v>
      </c>
      <c r="E609" s="13" t="s">
        <v>393</v>
      </c>
      <c r="F609" s="15">
        <v>45570</v>
      </c>
      <c r="G609" s="13" t="s">
        <v>16</v>
      </c>
      <c r="H609" s="15"/>
      <c r="I609" s="13" t="s">
        <v>26</v>
      </c>
      <c r="J609" s="13" t="s">
        <v>18</v>
      </c>
      <c r="K609" s="16"/>
    </row>
    <row r="610" spans="1:11" ht="43.15">
      <c r="A610" s="17">
        <f>_xlfn.AGGREGATE(3,1,$B$6:B610)</f>
        <v>605</v>
      </c>
      <c r="B610" s="18" t="s">
        <v>845</v>
      </c>
      <c r="C610" s="18" t="s">
        <v>847</v>
      </c>
      <c r="D610" s="21" t="s">
        <v>848</v>
      </c>
      <c r="E610" s="18" t="s">
        <v>393</v>
      </c>
      <c r="F610" s="20">
        <v>45570</v>
      </c>
      <c r="G610" s="18" t="s">
        <v>20</v>
      </c>
      <c r="H610" s="20"/>
      <c r="I610" s="18" t="s">
        <v>17</v>
      </c>
      <c r="J610" s="18" t="s">
        <v>18</v>
      </c>
      <c r="K610" s="21"/>
    </row>
    <row r="611" spans="1:11" ht="28.9">
      <c r="A611" s="12">
        <f>_xlfn.AGGREGATE(3,1,$B$6:B611)</f>
        <v>606</v>
      </c>
      <c r="B611" s="13" t="s">
        <v>845</v>
      </c>
      <c r="C611" s="13" t="s">
        <v>47</v>
      </c>
      <c r="D611" s="16" t="s">
        <v>849</v>
      </c>
      <c r="E611" s="13" t="s">
        <v>393</v>
      </c>
      <c r="F611" s="15">
        <v>45570</v>
      </c>
      <c r="G611" s="13" t="s">
        <v>20</v>
      </c>
      <c r="H611" s="15"/>
      <c r="I611" s="13" t="s">
        <v>26</v>
      </c>
      <c r="J611" s="13" t="s">
        <v>18</v>
      </c>
      <c r="K611" s="16"/>
    </row>
    <row r="612" spans="1:11" ht="57.6">
      <c r="A612" s="17">
        <f>_xlfn.AGGREGATE(3,1,$B$6:B612)</f>
        <v>607</v>
      </c>
      <c r="B612" s="18" t="s">
        <v>850</v>
      </c>
      <c r="C612" s="18" t="s">
        <v>47</v>
      </c>
      <c r="D612" s="21" t="s">
        <v>851</v>
      </c>
      <c r="E612" s="18" t="s">
        <v>183</v>
      </c>
      <c r="F612" s="20">
        <v>45575</v>
      </c>
      <c r="G612" s="18" t="s">
        <v>20</v>
      </c>
      <c r="H612" s="20"/>
      <c r="I612" s="18" t="s">
        <v>17</v>
      </c>
      <c r="J612" s="18" t="s">
        <v>18</v>
      </c>
      <c r="K612" s="21"/>
    </row>
    <row r="613" spans="1:11" ht="57.6">
      <c r="A613" s="12">
        <f>_xlfn.AGGREGATE(3,1,$B$6:B613)</f>
        <v>608</v>
      </c>
      <c r="B613" s="13" t="s">
        <v>850</v>
      </c>
      <c r="C613" s="13" t="s">
        <v>47</v>
      </c>
      <c r="D613" s="16" t="s">
        <v>852</v>
      </c>
      <c r="E613" s="13" t="s">
        <v>183</v>
      </c>
      <c r="F613" s="15">
        <v>45575</v>
      </c>
      <c r="G613" s="13" t="s">
        <v>20</v>
      </c>
      <c r="H613" s="15"/>
      <c r="I613" s="13" t="s">
        <v>684</v>
      </c>
      <c r="J613" s="13" t="s">
        <v>305</v>
      </c>
      <c r="K613" s="16"/>
    </row>
    <row r="614" spans="1:11" ht="28.9">
      <c r="A614" s="17">
        <f>_xlfn.AGGREGATE(3,1,$B$6:B614)</f>
        <v>609</v>
      </c>
      <c r="B614" s="18" t="s">
        <v>850</v>
      </c>
      <c r="C614" s="18" t="s">
        <v>47</v>
      </c>
      <c r="D614" s="21" t="s">
        <v>853</v>
      </c>
      <c r="E614" s="18" t="s">
        <v>183</v>
      </c>
      <c r="F614" s="20">
        <v>45575</v>
      </c>
      <c r="G614" s="18" t="s">
        <v>20</v>
      </c>
      <c r="H614" s="20"/>
      <c r="I614" s="18" t="s">
        <v>684</v>
      </c>
      <c r="J614" s="18" t="s">
        <v>305</v>
      </c>
      <c r="K614" s="21"/>
    </row>
    <row r="615" spans="1:11" ht="28.9">
      <c r="A615" s="12">
        <f>_xlfn.AGGREGATE(3,1,$B$6:B615)</f>
        <v>610</v>
      </c>
      <c r="B615" s="13" t="s">
        <v>850</v>
      </c>
      <c r="C615" s="13" t="s">
        <v>47</v>
      </c>
      <c r="D615" s="16" t="s">
        <v>854</v>
      </c>
      <c r="E615" s="13" t="s">
        <v>183</v>
      </c>
      <c r="F615" s="15">
        <v>45575</v>
      </c>
      <c r="G615" s="13" t="s">
        <v>16</v>
      </c>
      <c r="H615" s="15"/>
      <c r="I615" s="13" t="s">
        <v>684</v>
      </c>
      <c r="J615" s="13" t="s">
        <v>305</v>
      </c>
      <c r="K615" s="16"/>
    </row>
    <row r="616" spans="1:11" ht="28.9">
      <c r="A616" s="17">
        <f>_xlfn.AGGREGATE(3,1,$B$6:B616)</f>
        <v>611</v>
      </c>
      <c r="B616" s="18" t="s">
        <v>850</v>
      </c>
      <c r="C616" s="18" t="s">
        <v>47</v>
      </c>
      <c r="D616" s="21" t="s">
        <v>855</v>
      </c>
      <c r="E616" s="18" t="s">
        <v>183</v>
      </c>
      <c r="F616" s="20">
        <v>45575</v>
      </c>
      <c r="G616" s="18" t="s">
        <v>16</v>
      </c>
      <c r="H616" s="20"/>
      <c r="I616" s="18" t="s">
        <v>684</v>
      </c>
      <c r="J616" s="18" t="s">
        <v>18</v>
      </c>
      <c r="K616" s="21"/>
    </row>
    <row r="617" spans="1:11" ht="28.9">
      <c r="A617" s="12">
        <f>_xlfn.AGGREGATE(3,1,$B$6:B617)</f>
        <v>612</v>
      </c>
      <c r="B617" s="13" t="s">
        <v>850</v>
      </c>
      <c r="C617" s="13" t="s">
        <v>47</v>
      </c>
      <c r="D617" s="16" t="s">
        <v>856</v>
      </c>
      <c r="E617" s="13" t="s">
        <v>183</v>
      </c>
      <c r="F617" s="15">
        <v>45575</v>
      </c>
      <c r="G617" s="13" t="s">
        <v>77</v>
      </c>
      <c r="H617" s="15"/>
      <c r="I617" s="13" t="s">
        <v>684</v>
      </c>
      <c r="J617" s="13" t="s">
        <v>305</v>
      </c>
      <c r="K617" s="16"/>
    </row>
    <row r="618" spans="1:11" ht="43.15">
      <c r="A618" s="17">
        <f>_xlfn.AGGREGATE(3,1,$B$6:B618)</f>
        <v>613</v>
      </c>
      <c r="B618" s="18" t="s">
        <v>850</v>
      </c>
      <c r="C618" s="18" t="s">
        <v>47</v>
      </c>
      <c r="D618" s="21" t="s">
        <v>857</v>
      </c>
      <c r="E618" s="18" t="s">
        <v>183</v>
      </c>
      <c r="F618" s="20">
        <v>45575</v>
      </c>
      <c r="G618" s="18" t="s">
        <v>77</v>
      </c>
      <c r="H618" s="20"/>
      <c r="I618" s="18" t="s">
        <v>684</v>
      </c>
      <c r="J618" s="18" t="s">
        <v>305</v>
      </c>
      <c r="K618" s="21"/>
    </row>
    <row r="619" spans="1:11" ht="43.15">
      <c r="A619" s="12">
        <f>_xlfn.AGGREGATE(3,1,$B$6:B619)</f>
        <v>614</v>
      </c>
      <c r="B619" s="13" t="s">
        <v>858</v>
      </c>
      <c r="C619" s="13" t="s">
        <v>47</v>
      </c>
      <c r="D619" s="16" t="s">
        <v>859</v>
      </c>
      <c r="E619" s="13" t="s">
        <v>183</v>
      </c>
      <c r="F619" s="15">
        <v>45580</v>
      </c>
      <c r="G619" s="13" t="s">
        <v>16</v>
      </c>
      <c r="H619" s="15"/>
      <c r="I619" s="13" t="s">
        <v>684</v>
      </c>
      <c r="J619" s="13" t="s">
        <v>305</v>
      </c>
      <c r="K619" s="16"/>
    </row>
    <row r="620" spans="1:11" ht="43.15">
      <c r="A620" s="17">
        <f>_xlfn.AGGREGATE(3,1,$B$6:B620)</f>
        <v>615</v>
      </c>
      <c r="B620" s="18" t="s">
        <v>858</v>
      </c>
      <c r="C620" s="18" t="s">
        <v>651</v>
      </c>
      <c r="D620" s="21" t="s">
        <v>860</v>
      </c>
      <c r="E620" s="18" t="s">
        <v>183</v>
      </c>
      <c r="F620" s="20">
        <v>45580</v>
      </c>
      <c r="G620" s="18" t="s">
        <v>16</v>
      </c>
      <c r="H620" s="20"/>
      <c r="I620" s="18" t="s">
        <v>17</v>
      </c>
      <c r="J620" s="18" t="s">
        <v>18</v>
      </c>
      <c r="K620" s="21"/>
    </row>
    <row r="621" spans="1:11" ht="43.15">
      <c r="A621" s="12">
        <f>_xlfn.AGGREGATE(3,1,$B$6:B621)</f>
        <v>616</v>
      </c>
      <c r="B621" s="13" t="s">
        <v>858</v>
      </c>
      <c r="C621" s="13" t="s">
        <v>140</v>
      </c>
      <c r="D621" s="16" t="s">
        <v>861</v>
      </c>
      <c r="E621" s="13" t="s">
        <v>183</v>
      </c>
      <c r="F621" s="15">
        <v>45580</v>
      </c>
      <c r="G621" s="13" t="s">
        <v>77</v>
      </c>
      <c r="H621" s="15"/>
      <c r="I621" s="13" t="s">
        <v>17</v>
      </c>
      <c r="J621" s="13" t="s">
        <v>18</v>
      </c>
      <c r="K621" s="16"/>
    </row>
    <row r="622" spans="1:11" ht="28.9">
      <c r="A622" s="17">
        <f>_xlfn.AGGREGATE(3,1,$B$6:B622)</f>
        <v>617</v>
      </c>
      <c r="B622" s="18" t="s">
        <v>858</v>
      </c>
      <c r="C622" s="18" t="s">
        <v>111</v>
      </c>
      <c r="D622" s="21" t="s">
        <v>862</v>
      </c>
      <c r="E622" s="18" t="s">
        <v>183</v>
      </c>
      <c r="F622" s="20">
        <v>45580</v>
      </c>
      <c r="G622" s="18" t="s">
        <v>77</v>
      </c>
      <c r="H622" s="20"/>
      <c r="I622" s="18" t="s">
        <v>17</v>
      </c>
      <c r="J622" s="18" t="s">
        <v>18</v>
      </c>
      <c r="K622" s="21"/>
    </row>
    <row r="623" spans="1:11" ht="43.15">
      <c r="A623" s="12">
        <f>_xlfn.AGGREGATE(3,1,$B$6:B623)</f>
        <v>618</v>
      </c>
      <c r="B623" s="13" t="s">
        <v>863</v>
      </c>
      <c r="C623" s="13" t="s">
        <v>47</v>
      </c>
      <c r="D623" s="16" t="s">
        <v>864</v>
      </c>
      <c r="E623" s="13" t="s">
        <v>382</v>
      </c>
      <c r="F623" s="15">
        <v>45581</v>
      </c>
      <c r="G623" s="13" t="s">
        <v>16</v>
      </c>
      <c r="H623" s="15"/>
      <c r="I623" s="13" t="s">
        <v>26</v>
      </c>
      <c r="J623" s="13" t="s">
        <v>18</v>
      </c>
      <c r="K623" s="16" t="s">
        <v>865</v>
      </c>
    </row>
    <row r="624" spans="1:11" ht="28.9">
      <c r="A624" s="17">
        <f>_xlfn.AGGREGATE(3,1,$B$6:B624)</f>
        <v>619</v>
      </c>
      <c r="B624" s="18" t="s">
        <v>863</v>
      </c>
      <c r="C624" s="18" t="s">
        <v>100</v>
      </c>
      <c r="D624" s="21" t="s">
        <v>866</v>
      </c>
      <c r="E624" s="18" t="s">
        <v>382</v>
      </c>
      <c r="F624" s="20">
        <v>45581</v>
      </c>
      <c r="G624" s="18" t="s">
        <v>16</v>
      </c>
      <c r="H624" s="20"/>
      <c r="I624" s="18" t="s">
        <v>17</v>
      </c>
      <c r="J624" s="18" t="s">
        <v>18</v>
      </c>
      <c r="K624" s="21"/>
    </row>
    <row r="625" spans="1:13">
      <c r="A625" s="12">
        <f>_xlfn.AGGREGATE(3,1,$B$6:B625)</f>
        <v>620</v>
      </c>
      <c r="B625" s="13" t="s">
        <v>863</v>
      </c>
      <c r="C625" s="13" t="s">
        <v>320</v>
      </c>
      <c r="D625" s="16" t="s">
        <v>867</v>
      </c>
      <c r="E625" s="13" t="s">
        <v>868</v>
      </c>
      <c r="F625" s="15">
        <v>45581</v>
      </c>
      <c r="G625" s="13" t="s">
        <v>20</v>
      </c>
      <c r="H625" s="15"/>
      <c r="I625" s="13" t="s">
        <v>17</v>
      </c>
      <c r="J625" s="13" t="s">
        <v>18</v>
      </c>
      <c r="K625" s="16"/>
    </row>
    <row r="626" spans="1:13" ht="28.9">
      <c r="A626" s="17">
        <f>_xlfn.AGGREGATE(3,1,$B$6:B626)</f>
        <v>621</v>
      </c>
      <c r="B626" s="18" t="s">
        <v>863</v>
      </c>
      <c r="C626" s="18" t="s">
        <v>320</v>
      </c>
      <c r="D626" s="21" t="s">
        <v>869</v>
      </c>
      <c r="E626" s="18" t="s">
        <v>868</v>
      </c>
      <c r="F626" s="20">
        <v>45581</v>
      </c>
      <c r="G626" s="18" t="s">
        <v>16</v>
      </c>
      <c r="H626" s="20"/>
      <c r="I626" s="18" t="s">
        <v>684</v>
      </c>
      <c r="J626" s="18" t="s">
        <v>305</v>
      </c>
      <c r="K626" s="21"/>
    </row>
    <row r="627" spans="1:13" ht="57.6">
      <c r="A627" s="12">
        <f>_xlfn.AGGREGATE(3,1,$B$6:B627)</f>
        <v>622</v>
      </c>
      <c r="B627" s="13" t="s">
        <v>863</v>
      </c>
      <c r="C627" s="13" t="s">
        <v>47</v>
      </c>
      <c r="D627" s="16" t="s">
        <v>870</v>
      </c>
      <c r="E627" s="13" t="s">
        <v>38</v>
      </c>
      <c r="F627" s="15">
        <v>45581</v>
      </c>
      <c r="G627" s="13" t="s">
        <v>20</v>
      </c>
      <c r="H627" s="15"/>
      <c r="I627" s="13" t="s">
        <v>26</v>
      </c>
      <c r="J627" s="13" t="s">
        <v>18</v>
      </c>
      <c r="K627" s="16"/>
    </row>
    <row r="628" spans="1:13" ht="28.9">
      <c r="A628" s="17">
        <f>_xlfn.AGGREGATE(3,1,$B$6:B628)</f>
        <v>623</v>
      </c>
      <c r="B628" s="18" t="s">
        <v>863</v>
      </c>
      <c r="C628" s="18" t="s">
        <v>47</v>
      </c>
      <c r="D628" s="21" t="s">
        <v>823</v>
      </c>
      <c r="E628" s="18" t="s">
        <v>38</v>
      </c>
      <c r="F628" s="20">
        <v>45581</v>
      </c>
      <c r="G628" s="18" t="s">
        <v>16</v>
      </c>
      <c r="H628" s="20"/>
      <c r="I628" s="18" t="s">
        <v>26</v>
      </c>
      <c r="J628" s="18" t="s">
        <v>18</v>
      </c>
      <c r="K628" s="21" t="s">
        <v>822</v>
      </c>
    </row>
    <row r="629" spans="1:13">
      <c r="A629" s="12">
        <f>_xlfn.AGGREGATE(3,1,$B$6:B629)</f>
        <v>624</v>
      </c>
      <c r="B629" s="13" t="s">
        <v>863</v>
      </c>
      <c r="C629" s="13" t="s">
        <v>207</v>
      </c>
      <c r="D629" s="16" t="s">
        <v>871</v>
      </c>
      <c r="E629" s="13" t="s">
        <v>38</v>
      </c>
      <c r="F629" s="15">
        <v>45581</v>
      </c>
      <c r="G629" s="13" t="s">
        <v>77</v>
      </c>
      <c r="H629" s="15"/>
      <c r="I629" s="13" t="s">
        <v>17</v>
      </c>
      <c r="J629" s="13" t="s">
        <v>18</v>
      </c>
      <c r="K629" s="16"/>
      <c r="M629" s="1">
        <f>184-172</f>
        <v>12</v>
      </c>
    </row>
    <row r="630" spans="1:13" ht="28.9">
      <c r="A630" s="17">
        <f>_xlfn.AGGREGATE(3,1,$B$6:B630)</f>
        <v>625</v>
      </c>
      <c r="B630" s="18" t="s">
        <v>872</v>
      </c>
      <c r="C630" s="18" t="s">
        <v>873</v>
      </c>
      <c r="D630" s="21" t="s">
        <v>874</v>
      </c>
      <c r="E630" s="18" t="s">
        <v>875</v>
      </c>
      <c r="F630" s="20">
        <v>45569</v>
      </c>
      <c r="G630" s="18" t="s">
        <v>20</v>
      </c>
      <c r="H630" s="20"/>
      <c r="I630" s="18" t="s">
        <v>17</v>
      </c>
      <c r="J630" s="18" t="s">
        <v>18</v>
      </c>
      <c r="K630" s="21"/>
    </row>
    <row r="631" spans="1:13" ht="57.6">
      <c r="A631" s="12">
        <f>_xlfn.AGGREGATE(3,1,$B$6:B631)</f>
        <v>626</v>
      </c>
      <c r="B631" s="13" t="s">
        <v>872</v>
      </c>
      <c r="C631" s="13" t="s">
        <v>876</v>
      </c>
      <c r="D631" s="16" t="s">
        <v>877</v>
      </c>
      <c r="E631" s="13" t="s">
        <v>875</v>
      </c>
      <c r="F631" s="15">
        <v>45569</v>
      </c>
      <c r="G631" s="13" t="s">
        <v>20</v>
      </c>
      <c r="H631" s="15"/>
      <c r="I631" s="13" t="s">
        <v>17</v>
      </c>
      <c r="J631" s="13" t="s">
        <v>18</v>
      </c>
      <c r="K631" s="16"/>
    </row>
    <row r="632" spans="1:13" ht="43.15">
      <c r="A632" s="17">
        <f>_xlfn.AGGREGATE(3,1,$B$6:B632)</f>
        <v>627</v>
      </c>
      <c r="B632" s="18" t="s">
        <v>872</v>
      </c>
      <c r="C632" s="18" t="s">
        <v>47</v>
      </c>
      <c r="D632" s="21" t="s">
        <v>878</v>
      </c>
      <c r="E632" s="18" t="s">
        <v>879</v>
      </c>
      <c r="F632" s="20">
        <v>45569</v>
      </c>
      <c r="G632" s="18" t="s">
        <v>16</v>
      </c>
      <c r="H632" s="20"/>
      <c r="I632" s="18" t="s">
        <v>684</v>
      </c>
      <c r="J632" s="18" t="s">
        <v>305</v>
      </c>
      <c r="K632" s="21"/>
    </row>
    <row r="633" spans="1:13" ht="57.6">
      <c r="A633" s="12">
        <f>_xlfn.AGGREGATE(3,1,$B$6:B633)</f>
        <v>628</v>
      </c>
      <c r="B633" s="13" t="s">
        <v>872</v>
      </c>
      <c r="C633" s="13" t="s">
        <v>47</v>
      </c>
      <c r="D633" s="16" t="s">
        <v>880</v>
      </c>
      <c r="E633" s="13" t="s">
        <v>881</v>
      </c>
      <c r="F633" s="15">
        <v>45569</v>
      </c>
      <c r="G633" s="13" t="s">
        <v>77</v>
      </c>
      <c r="H633" s="15"/>
      <c r="I633" s="13" t="s">
        <v>882</v>
      </c>
      <c r="J633" s="13" t="s">
        <v>305</v>
      </c>
      <c r="K633" s="16"/>
    </row>
    <row r="634" spans="1:13" ht="43.15">
      <c r="A634" s="17">
        <f>_xlfn.AGGREGATE(3,1,$B$6:B634)</f>
        <v>629</v>
      </c>
      <c r="B634" s="18" t="s">
        <v>872</v>
      </c>
      <c r="C634" s="18" t="s">
        <v>883</v>
      </c>
      <c r="D634" s="21" t="s">
        <v>884</v>
      </c>
      <c r="E634" s="18" t="s">
        <v>885</v>
      </c>
      <c r="F634" s="20">
        <v>45569</v>
      </c>
      <c r="G634" s="18" t="s">
        <v>77</v>
      </c>
      <c r="H634" s="20"/>
      <c r="I634" s="18" t="s">
        <v>17</v>
      </c>
      <c r="J634" s="18" t="s">
        <v>18</v>
      </c>
      <c r="K634" s="21"/>
    </row>
    <row r="635" spans="1:13" ht="43.15">
      <c r="A635" s="12">
        <f>_xlfn.AGGREGATE(3,1,$B$6:B635)</f>
        <v>630</v>
      </c>
      <c r="B635" s="13" t="s">
        <v>872</v>
      </c>
      <c r="C635" s="13" t="s">
        <v>886</v>
      </c>
      <c r="D635" s="16" t="s">
        <v>887</v>
      </c>
      <c r="E635" s="13" t="s">
        <v>885</v>
      </c>
      <c r="F635" s="15">
        <v>45569</v>
      </c>
      <c r="G635" s="13" t="s">
        <v>77</v>
      </c>
      <c r="H635" s="15"/>
      <c r="I635" s="13" t="s">
        <v>17</v>
      </c>
      <c r="J635" s="13" t="s">
        <v>18</v>
      </c>
      <c r="K635" s="16"/>
    </row>
    <row r="636" spans="1:13" ht="28.9">
      <c r="A636" s="17">
        <f>_xlfn.AGGREGATE(3,1,$B$6:B636)</f>
        <v>631</v>
      </c>
      <c r="B636" s="18" t="s">
        <v>888</v>
      </c>
      <c r="C636" s="18" t="s">
        <v>47</v>
      </c>
      <c r="D636" s="21" t="s">
        <v>889</v>
      </c>
      <c r="E636" s="18" t="s">
        <v>875</v>
      </c>
      <c r="F636" s="20">
        <v>45614</v>
      </c>
      <c r="G636" s="18" t="s">
        <v>20</v>
      </c>
      <c r="H636" s="20"/>
      <c r="I636" s="18" t="s">
        <v>17</v>
      </c>
      <c r="J636" s="18" t="s">
        <v>18</v>
      </c>
      <c r="K636" s="21"/>
    </row>
    <row r="637" spans="1:13" ht="43.15">
      <c r="A637" s="12">
        <f>_xlfn.AGGREGATE(3,1,$B$6:B637)</f>
        <v>632</v>
      </c>
      <c r="B637" s="13" t="s">
        <v>888</v>
      </c>
      <c r="C637" s="13" t="s">
        <v>890</v>
      </c>
      <c r="D637" s="16" t="s">
        <v>891</v>
      </c>
      <c r="E637" s="13" t="s">
        <v>875</v>
      </c>
      <c r="F637" s="15">
        <v>45615</v>
      </c>
      <c r="G637" s="13" t="s">
        <v>20</v>
      </c>
      <c r="H637" s="15"/>
      <c r="I637" s="13" t="s">
        <v>17</v>
      </c>
      <c r="J637" s="13" t="s">
        <v>18</v>
      </c>
      <c r="K637" s="16"/>
    </row>
    <row r="638" spans="1:13" ht="28.9">
      <c r="A638" s="17">
        <f>_xlfn.AGGREGATE(3,1,$B$6:B638)</f>
        <v>633</v>
      </c>
      <c r="B638" s="18" t="s">
        <v>888</v>
      </c>
      <c r="C638" s="18" t="s">
        <v>892</v>
      </c>
      <c r="D638" s="21" t="s">
        <v>893</v>
      </c>
      <c r="E638" s="18" t="s">
        <v>875</v>
      </c>
      <c r="F638" s="20">
        <v>45615</v>
      </c>
      <c r="G638" s="18" t="s">
        <v>16</v>
      </c>
      <c r="H638" s="20"/>
      <c r="I638" s="18" t="s">
        <v>17</v>
      </c>
      <c r="J638" s="18" t="s">
        <v>18</v>
      </c>
      <c r="K638" s="21" t="s">
        <v>395</v>
      </c>
    </row>
    <row r="639" spans="1:13" ht="57.6">
      <c r="A639" s="12">
        <f>_xlfn.AGGREGATE(3,1,$B$6:B639)</f>
        <v>634</v>
      </c>
      <c r="B639" s="13" t="s">
        <v>894</v>
      </c>
      <c r="C639" s="13" t="s">
        <v>47</v>
      </c>
      <c r="D639" s="16" t="s">
        <v>895</v>
      </c>
      <c r="E639" s="13" t="s">
        <v>896</v>
      </c>
      <c r="F639" s="15">
        <v>45618</v>
      </c>
      <c r="G639" s="13" t="s">
        <v>20</v>
      </c>
      <c r="H639" s="15"/>
      <c r="I639" s="13" t="s">
        <v>304</v>
      </c>
      <c r="J639" s="13" t="s">
        <v>18</v>
      </c>
      <c r="K639" s="16"/>
    </row>
    <row r="640" spans="1:13" ht="43.15">
      <c r="A640" s="17">
        <f>_xlfn.AGGREGATE(3,1,$B$6:B640)</f>
        <v>635</v>
      </c>
      <c r="B640" s="18" t="s">
        <v>894</v>
      </c>
      <c r="C640" s="18" t="s">
        <v>47</v>
      </c>
      <c r="D640" s="21" t="s">
        <v>897</v>
      </c>
      <c r="E640" s="18" t="s">
        <v>898</v>
      </c>
      <c r="F640" s="20">
        <v>45618</v>
      </c>
      <c r="G640" s="18" t="s">
        <v>77</v>
      </c>
      <c r="H640" s="20"/>
      <c r="I640" s="18" t="s">
        <v>26</v>
      </c>
      <c r="J640" s="18" t="s">
        <v>18</v>
      </c>
      <c r="K640" s="21"/>
    </row>
    <row r="641" spans="1:11" ht="57.6">
      <c r="A641" s="12">
        <f>_xlfn.AGGREGATE(3,1,$B$6:B641)</f>
        <v>636</v>
      </c>
      <c r="B641" s="13" t="s">
        <v>894</v>
      </c>
      <c r="C641" s="13" t="s">
        <v>47</v>
      </c>
      <c r="D641" s="16" t="s">
        <v>899</v>
      </c>
      <c r="E641" s="13" t="s">
        <v>896</v>
      </c>
      <c r="F641" s="15">
        <v>45618</v>
      </c>
      <c r="G641" s="13" t="s">
        <v>20</v>
      </c>
      <c r="H641" s="15"/>
      <c r="I641" s="13" t="s">
        <v>26</v>
      </c>
      <c r="J641" s="13" t="s">
        <v>18</v>
      </c>
      <c r="K641" s="16"/>
    </row>
    <row r="642" spans="1:11" ht="28.9">
      <c r="A642" s="17">
        <f>_xlfn.AGGREGATE(3,1,$B$6:B642)</f>
        <v>637</v>
      </c>
      <c r="B642" s="18" t="s">
        <v>894</v>
      </c>
      <c r="C642" s="18" t="s">
        <v>47</v>
      </c>
      <c r="D642" s="21" t="s">
        <v>900</v>
      </c>
      <c r="E642" s="18" t="s">
        <v>896</v>
      </c>
      <c r="F642" s="20">
        <v>45618</v>
      </c>
      <c r="G642" s="18" t="s">
        <v>20</v>
      </c>
      <c r="H642" s="20"/>
      <c r="I642" s="18" t="s">
        <v>26</v>
      </c>
      <c r="J642" s="18" t="s">
        <v>18</v>
      </c>
      <c r="K642" s="21"/>
    </row>
    <row r="643" spans="1:11" ht="43.15">
      <c r="A643" s="12">
        <f>_xlfn.AGGREGATE(3,1,$B$6:B643)</f>
        <v>638</v>
      </c>
      <c r="B643" s="13" t="s">
        <v>894</v>
      </c>
      <c r="C643" s="13" t="s">
        <v>47</v>
      </c>
      <c r="D643" s="16" t="s">
        <v>901</v>
      </c>
      <c r="E643" s="13" t="s">
        <v>902</v>
      </c>
      <c r="F643" s="15">
        <v>45618</v>
      </c>
      <c r="G643" s="13" t="s">
        <v>77</v>
      </c>
      <c r="H643" s="15"/>
      <c r="I643" s="13" t="s">
        <v>26</v>
      </c>
      <c r="J643" s="13" t="s">
        <v>18</v>
      </c>
      <c r="K643" s="16"/>
    </row>
    <row r="644" spans="1:11" ht="43.15">
      <c r="A644" s="17">
        <f>_xlfn.AGGREGATE(3,1,$B$6:B644)</f>
        <v>639</v>
      </c>
      <c r="B644" s="18" t="s">
        <v>903</v>
      </c>
      <c r="C644" s="18" t="s">
        <v>904</v>
      </c>
      <c r="D644" s="21" t="s">
        <v>905</v>
      </c>
      <c r="E644" s="18" t="s">
        <v>875</v>
      </c>
      <c r="F644" s="20">
        <v>45631</v>
      </c>
      <c r="G644" s="18" t="s">
        <v>20</v>
      </c>
      <c r="H644" s="20"/>
      <c r="I644" s="18" t="s">
        <v>17</v>
      </c>
      <c r="J644" s="18" t="s">
        <v>18</v>
      </c>
      <c r="K644" s="21" t="s">
        <v>293</v>
      </c>
    </row>
    <row r="645" spans="1:11" ht="28.9">
      <c r="A645" s="12">
        <f>_xlfn.AGGREGATE(3,1,$B$6:B645)</f>
        <v>640</v>
      </c>
      <c r="B645" s="13" t="s">
        <v>903</v>
      </c>
      <c r="C645" s="13" t="s">
        <v>873</v>
      </c>
      <c r="D645" s="16" t="s">
        <v>906</v>
      </c>
      <c r="E645" s="13" t="s">
        <v>875</v>
      </c>
      <c r="F645" s="15">
        <v>45631</v>
      </c>
      <c r="G645" s="13" t="s">
        <v>20</v>
      </c>
      <c r="H645" s="15"/>
      <c r="I645" s="13" t="s">
        <v>17</v>
      </c>
      <c r="J645" s="13" t="s">
        <v>18</v>
      </c>
      <c r="K645" s="16"/>
    </row>
    <row r="646" spans="1:11" ht="28.9">
      <c r="A646" s="17">
        <f>_xlfn.AGGREGATE(3,1,$B$6:B646)</f>
        <v>641</v>
      </c>
      <c r="B646" s="18" t="s">
        <v>903</v>
      </c>
      <c r="C646" s="18" t="s">
        <v>886</v>
      </c>
      <c r="D646" s="21" t="s">
        <v>907</v>
      </c>
      <c r="E646" s="18" t="s">
        <v>875</v>
      </c>
      <c r="F646" s="20">
        <v>45631</v>
      </c>
      <c r="G646" s="18" t="s">
        <v>20</v>
      </c>
      <c r="H646" s="20"/>
      <c r="I646" s="18" t="s">
        <v>17</v>
      </c>
      <c r="J646" s="18" t="s">
        <v>18</v>
      </c>
      <c r="K646" s="21"/>
    </row>
    <row r="647" spans="1:11" ht="28.9">
      <c r="A647" s="12">
        <f>_xlfn.AGGREGATE(3,1,$B$6:B647)</f>
        <v>642</v>
      </c>
      <c r="B647" s="13" t="s">
        <v>903</v>
      </c>
      <c r="C647" s="13" t="s">
        <v>908</v>
      </c>
      <c r="D647" s="16" t="s">
        <v>909</v>
      </c>
      <c r="E647" s="13" t="s">
        <v>875</v>
      </c>
      <c r="F647" s="15">
        <v>45631</v>
      </c>
      <c r="G647" s="13" t="s">
        <v>20</v>
      </c>
      <c r="H647" s="15"/>
      <c r="I647" s="13" t="s">
        <v>17</v>
      </c>
      <c r="J647" s="13" t="s">
        <v>18</v>
      </c>
      <c r="K647" s="16" t="s">
        <v>239</v>
      </c>
    </row>
    <row r="648" spans="1:11" ht="28.9">
      <c r="A648" s="17">
        <f>_xlfn.AGGREGATE(3,1,$B$6:B648)</f>
        <v>643</v>
      </c>
      <c r="B648" s="18" t="s">
        <v>903</v>
      </c>
      <c r="C648" s="18" t="s">
        <v>910</v>
      </c>
      <c r="D648" s="21" t="s">
        <v>911</v>
      </c>
      <c r="E648" s="18" t="s">
        <v>875</v>
      </c>
      <c r="F648" s="20">
        <v>45631</v>
      </c>
      <c r="G648" s="18" t="s">
        <v>20</v>
      </c>
      <c r="H648" s="20"/>
      <c r="I648" s="18" t="s">
        <v>26</v>
      </c>
      <c r="J648" s="18" t="s">
        <v>18</v>
      </c>
      <c r="K648" s="21" t="s">
        <v>912</v>
      </c>
    </row>
    <row r="649" spans="1:11" ht="28.9">
      <c r="A649" s="12">
        <f>_xlfn.AGGREGATE(3,1,$B$6:B649)</f>
        <v>644</v>
      </c>
      <c r="B649" s="13" t="s">
        <v>903</v>
      </c>
      <c r="C649" s="13" t="s">
        <v>913</v>
      </c>
      <c r="D649" s="16" t="s">
        <v>914</v>
      </c>
      <c r="E649" s="13" t="s">
        <v>875</v>
      </c>
      <c r="F649" s="15">
        <v>45631</v>
      </c>
      <c r="G649" s="13" t="s">
        <v>20</v>
      </c>
      <c r="H649" s="15"/>
      <c r="I649" s="13" t="s">
        <v>26</v>
      </c>
      <c r="J649" s="13" t="s">
        <v>18</v>
      </c>
      <c r="K649" s="16"/>
    </row>
    <row r="650" spans="1:11" ht="28.9">
      <c r="A650" s="17">
        <f>_xlfn.AGGREGATE(3,1,$B$6:B650)</f>
        <v>645</v>
      </c>
      <c r="B650" s="18" t="s">
        <v>903</v>
      </c>
      <c r="C650" s="18" t="s">
        <v>915</v>
      </c>
      <c r="D650" s="21" t="s">
        <v>916</v>
      </c>
      <c r="E650" s="18" t="s">
        <v>875</v>
      </c>
      <c r="F650" s="20">
        <v>45631</v>
      </c>
      <c r="G650" s="18" t="s">
        <v>20</v>
      </c>
      <c r="H650" s="20"/>
      <c r="I650" s="18" t="s">
        <v>26</v>
      </c>
      <c r="J650" s="18" t="s">
        <v>18</v>
      </c>
      <c r="K650" s="21"/>
    </row>
    <row r="651" spans="1:11" ht="28.9">
      <c r="A651" s="12">
        <f>_xlfn.AGGREGATE(3,1,$B$6:B651)</f>
        <v>646</v>
      </c>
      <c r="B651" s="13" t="s">
        <v>903</v>
      </c>
      <c r="C651" s="13" t="s">
        <v>910</v>
      </c>
      <c r="D651" s="16" t="s">
        <v>917</v>
      </c>
      <c r="E651" s="13" t="s">
        <v>875</v>
      </c>
      <c r="F651" s="15">
        <v>45631</v>
      </c>
      <c r="G651" s="13" t="s">
        <v>20</v>
      </c>
      <c r="H651" s="15"/>
      <c r="I651" s="13" t="s">
        <v>26</v>
      </c>
      <c r="J651" s="13" t="s">
        <v>18</v>
      </c>
      <c r="K651" s="16"/>
    </row>
    <row r="652" spans="1:11" ht="28.9">
      <c r="A652" s="17">
        <f>_xlfn.AGGREGATE(3,1,$B$6:B652)</f>
        <v>647</v>
      </c>
      <c r="B652" s="18" t="s">
        <v>903</v>
      </c>
      <c r="C652" s="18" t="s">
        <v>47</v>
      </c>
      <c r="D652" s="21" t="s">
        <v>918</v>
      </c>
      <c r="E652" s="18" t="s">
        <v>875</v>
      </c>
      <c r="F652" s="20">
        <v>45631</v>
      </c>
      <c r="G652" s="18" t="s">
        <v>77</v>
      </c>
      <c r="H652" s="20"/>
      <c r="I652" s="18" t="s">
        <v>684</v>
      </c>
      <c r="J652" s="18" t="s">
        <v>305</v>
      </c>
      <c r="K652" s="21"/>
    </row>
    <row r="653" spans="1:11" ht="28.9">
      <c r="A653" s="12">
        <f>_xlfn.AGGREGATE(3,1,$B$6:B653)</f>
        <v>648</v>
      </c>
      <c r="B653" s="13" t="s">
        <v>919</v>
      </c>
      <c r="C653" s="13" t="s">
        <v>920</v>
      </c>
      <c r="D653" s="16" t="s">
        <v>921</v>
      </c>
      <c r="E653" s="13" t="s">
        <v>875</v>
      </c>
      <c r="F653" s="15">
        <v>45637</v>
      </c>
      <c r="G653" s="13" t="s">
        <v>20</v>
      </c>
      <c r="H653" s="15"/>
      <c r="I653" s="13" t="s">
        <v>17</v>
      </c>
      <c r="J653" s="13" t="s">
        <v>18</v>
      </c>
      <c r="K653" s="16"/>
    </row>
    <row r="654" spans="1:11" ht="28.9">
      <c r="A654" s="17">
        <f>_xlfn.AGGREGATE(3,1,$B$6:B654)</f>
        <v>649</v>
      </c>
      <c r="B654" s="18" t="s">
        <v>919</v>
      </c>
      <c r="C654" s="18" t="s">
        <v>47</v>
      </c>
      <c r="D654" s="21" t="s">
        <v>922</v>
      </c>
      <c r="E654" s="18" t="s">
        <v>875</v>
      </c>
      <c r="F654" s="20">
        <v>45638</v>
      </c>
      <c r="G654" s="18" t="s">
        <v>16</v>
      </c>
      <c r="H654" s="20"/>
      <c r="I654" s="18" t="s">
        <v>684</v>
      </c>
      <c r="J654" s="18" t="s">
        <v>305</v>
      </c>
      <c r="K654" s="21"/>
    </row>
    <row r="655" spans="1:11" ht="28.9">
      <c r="A655" s="12">
        <f>_xlfn.AGGREGATE(3,1,$B$6:B655)</f>
        <v>650</v>
      </c>
      <c r="B655" s="13" t="s">
        <v>919</v>
      </c>
      <c r="C655" s="13" t="s">
        <v>920</v>
      </c>
      <c r="D655" s="16" t="s">
        <v>923</v>
      </c>
      <c r="E655" s="13" t="s">
        <v>875</v>
      </c>
      <c r="F655" s="15">
        <v>45638</v>
      </c>
      <c r="G655" s="13" t="s">
        <v>77</v>
      </c>
      <c r="H655" s="15"/>
      <c r="I655" s="13" t="s">
        <v>17</v>
      </c>
      <c r="J655" s="13" t="s">
        <v>18</v>
      </c>
      <c r="K655" s="16"/>
    </row>
    <row r="656" spans="1:11" ht="28.9">
      <c r="A656" s="17">
        <f>_xlfn.AGGREGATE(3,1,$B$6:B656)</f>
        <v>651</v>
      </c>
      <c r="B656" s="18" t="s">
        <v>919</v>
      </c>
      <c r="C656" s="18" t="s">
        <v>924</v>
      </c>
      <c r="D656" s="21" t="s">
        <v>925</v>
      </c>
      <c r="E656" s="18" t="s">
        <v>875</v>
      </c>
      <c r="F656" s="20">
        <v>45638</v>
      </c>
      <c r="G656" s="18" t="s">
        <v>77</v>
      </c>
      <c r="H656" s="20"/>
      <c r="I656" s="18" t="s">
        <v>17</v>
      </c>
      <c r="J656" s="18" t="s">
        <v>18</v>
      </c>
      <c r="K656" s="21"/>
    </row>
    <row r="657" spans="1:11">
      <c r="A657" s="12">
        <f>_xlfn.AGGREGATE(3,1,$B$6:B657)</f>
        <v>652</v>
      </c>
      <c r="B657" s="13" t="s">
        <v>926</v>
      </c>
      <c r="C657" s="13" t="s">
        <v>927</v>
      </c>
      <c r="D657" s="16" t="s">
        <v>928</v>
      </c>
      <c r="E657" s="13" t="s">
        <v>875</v>
      </c>
      <c r="F657" s="15">
        <v>45646</v>
      </c>
      <c r="G657" s="13" t="s">
        <v>20</v>
      </c>
      <c r="H657" s="15"/>
      <c r="I657" s="13" t="s">
        <v>17</v>
      </c>
      <c r="J657" s="13" t="s">
        <v>18</v>
      </c>
      <c r="K657" s="16"/>
    </row>
    <row r="658" spans="1:11" ht="28.9">
      <c r="A658" s="17">
        <f>_xlfn.AGGREGATE(3,1,$B$6:B658)</f>
        <v>653</v>
      </c>
      <c r="B658" s="18" t="s">
        <v>926</v>
      </c>
      <c r="C658" s="18" t="s">
        <v>927</v>
      </c>
      <c r="D658" s="21" t="s">
        <v>929</v>
      </c>
      <c r="E658" s="18" t="s">
        <v>875</v>
      </c>
      <c r="F658" s="20">
        <v>45646</v>
      </c>
      <c r="G658" s="18" t="s">
        <v>16</v>
      </c>
      <c r="H658" s="20"/>
      <c r="I658" s="18" t="s">
        <v>26</v>
      </c>
      <c r="J658" s="18" t="s">
        <v>18</v>
      </c>
      <c r="K658" s="21"/>
    </row>
    <row r="659" spans="1:11" ht="28.9">
      <c r="A659" s="12">
        <f>_xlfn.AGGREGATE(3,1,$B$6:B659)</f>
        <v>654</v>
      </c>
      <c r="B659" s="13" t="s">
        <v>926</v>
      </c>
      <c r="C659" s="13" t="s">
        <v>47</v>
      </c>
      <c r="D659" s="16" t="s">
        <v>930</v>
      </c>
      <c r="E659" s="13" t="s">
        <v>875</v>
      </c>
      <c r="F659" s="15">
        <v>45646</v>
      </c>
      <c r="G659" s="13" t="s">
        <v>77</v>
      </c>
      <c r="H659" s="15"/>
      <c r="I659" s="13" t="s">
        <v>684</v>
      </c>
      <c r="J659" s="13" t="s">
        <v>305</v>
      </c>
      <c r="K659" s="16"/>
    </row>
    <row r="660" spans="1:11" ht="28.9">
      <c r="A660" s="17">
        <f>_xlfn.AGGREGATE(3,1,$B$6:B660)</f>
        <v>655</v>
      </c>
      <c r="B660" s="18" t="s">
        <v>926</v>
      </c>
      <c r="C660" s="18" t="s">
        <v>927</v>
      </c>
      <c r="D660" s="21" t="s">
        <v>931</v>
      </c>
      <c r="E660" s="18" t="s">
        <v>875</v>
      </c>
      <c r="F660" s="20">
        <v>45646</v>
      </c>
      <c r="G660" s="18" t="s">
        <v>77</v>
      </c>
      <c r="H660" s="20"/>
      <c r="I660" s="18" t="s">
        <v>26</v>
      </c>
      <c r="J660" s="18" t="s">
        <v>18</v>
      </c>
      <c r="K660" s="21"/>
    </row>
    <row r="661" spans="1:11" ht="57.6">
      <c r="A661" s="12">
        <f>_xlfn.AGGREGATE(3,1,$B$6:B661)</f>
        <v>656</v>
      </c>
      <c r="B661" s="13" t="s">
        <v>932</v>
      </c>
      <c r="C661" s="13" t="s">
        <v>47</v>
      </c>
      <c r="D661" s="16" t="s">
        <v>933</v>
      </c>
      <c r="E661" s="13" t="s">
        <v>382</v>
      </c>
      <c r="F661" s="15">
        <v>45651</v>
      </c>
      <c r="G661" s="13" t="s">
        <v>16</v>
      </c>
      <c r="H661" s="15"/>
      <c r="I661" s="13" t="s">
        <v>26</v>
      </c>
      <c r="J661" s="13" t="s">
        <v>18</v>
      </c>
      <c r="K661" s="16"/>
    </row>
    <row r="662" spans="1:11" ht="57.6">
      <c r="A662" s="17">
        <f>_xlfn.AGGREGATE(3,1,$B$6:B662)</f>
        <v>657</v>
      </c>
      <c r="B662" s="18" t="s">
        <v>932</v>
      </c>
      <c r="C662" s="18" t="s">
        <v>47</v>
      </c>
      <c r="D662" s="21" t="s">
        <v>934</v>
      </c>
      <c r="E662" s="18" t="s">
        <v>382</v>
      </c>
      <c r="F662" s="20">
        <v>45651</v>
      </c>
      <c r="G662" s="18" t="s">
        <v>16</v>
      </c>
      <c r="H662" s="20"/>
      <c r="I662" s="18" t="s">
        <v>304</v>
      </c>
      <c r="J662" s="18" t="s">
        <v>305</v>
      </c>
      <c r="K662" s="21" t="s">
        <v>776</v>
      </c>
    </row>
    <row r="663" spans="1:11" ht="43.15">
      <c r="A663" s="12">
        <f>_xlfn.AGGREGATE(3,1,$B$6:B663)</f>
        <v>658</v>
      </c>
      <c r="B663" s="13" t="s">
        <v>932</v>
      </c>
      <c r="C663" s="13" t="s">
        <v>47</v>
      </c>
      <c r="D663" s="16" t="s">
        <v>935</v>
      </c>
      <c r="E663" s="13" t="s">
        <v>382</v>
      </c>
      <c r="F663" s="15">
        <v>45651</v>
      </c>
      <c r="G663" s="13" t="s">
        <v>20</v>
      </c>
      <c r="H663" s="15"/>
      <c r="I663" s="13" t="s">
        <v>304</v>
      </c>
      <c r="J663" s="13" t="s">
        <v>305</v>
      </c>
      <c r="K663" s="16" t="s">
        <v>776</v>
      </c>
    </row>
    <row r="664" spans="1:11" ht="28.9">
      <c r="A664" s="17">
        <f>_xlfn.AGGREGATE(3,1,$B$6:B664)</f>
        <v>659</v>
      </c>
      <c r="B664" s="18" t="s">
        <v>932</v>
      </c>
      <c r="C664" s="18" t="s">
        <v>47</v>
      </c>
      <c r="D664" s="21" t="s">
        <v>936</v>
      </c>
      <c r="E664" s="18" t="s">
        <v>382</v>
      </c>
      <c r="F664" s="20">
        <v>45651</v>
      </c>
      <c r="G664" s="18" t="s">
        <v>20</v>
      </c>
      <c r="H664" s="20"/>
      <c r="I664" s="18" t="s">
        <v>304</v>
      </c>
      <c r="J664" s="18" t="s">
        <v>305</v>
      </c>
      <c r="K664" s="21" t="s">
        <v>776</v>
      </c>
    </row>
    <row r="665" spans="1:11" ht="28.9">
      <c r="A665" s="12">
        <f>_xlfn.AGGREGATE(3,1,$B$6:B665)</f>
        <v>660</v>
      </c>
      <c r="B665" s="13" t="s">
        <v>932</v>
      </c>
      <c r="C665" s="13" t="s">
        <v>937</v>
      </c>
      <c r="D665" s="16" t="s">
        <v>938</v>
      </c>
      <c r="E665" s="13" t="s">
        <v>382</v>
      </c>
      <c r="F665" s="15">
        <v>45651</v>
      </c>
      <c r="G665" s="13" t="s">
        <v>77</v>
      </c>
      <c r="H665" s="15"/>
      <c r="I665" s="13" t="s">
        <v>17</v>
      </c>
      <c r="J665" s="13" t="s">
        <v>18</v>
      </c>
      <c r="K665" s="16"/>
    </row>
    <row r="666" spans="1:11">
      <c r="A666" s="17">
        <f>_xlfn.AGGREGATE(3,1,$B$6:B666)</f>
        <v>661</v>
      </c>
      <c r="B666" s="18" t="s">
        <v>932</v>
      </c>
      <c r="C666" s="18" t="s">
        <v>937</v>
      </c>
      <c r="D666" s="21" t="s">
        <v>939</v>
      </c>
      <c r="E666" s="18" t="s">
        <v>382</v>
      </c>
      <c r="F666" s="20">
        <v>45651</v>
      </c>
      <c r="G666" s="18" t="s">
        <v>20</v>
      </c>
      <c r="H666" s="20"/>
      <c r="I666" s="18" t="s">
        <v>17</v>
      </c>
      <c r="J666" s="18" t="s">
        <v>18</v>
      </c>
      <c r="K666" s="21"/>
    </row>
    <row r="667" spans="1:11" ht="28.9">
      <c r="A667" s="12">
        <f>_xlfn.AGGREGATE(3,1,$B$6:B667)</f>
        <v>662</v>
      </c>
      <c r="B667" s="13" t="s">
        <v>932</v>
      </c>
      <c r="C667" s="13" t="s">
        <v>47</v>
      </c>
      <c r="D667" s="16" t="s">
        <v>940</v>
      </c>
      <c r="E667" s="13" t="s">
        <v>382</v>
      </c>
      <c r="F667" s="15">
        <v>45651</v>
      </c>
      <c r="G667" s="13" t="s">
        <v>77</v>
      </c>
      <c r="H667" s="15"/>
      <c r="I667" s="13" t="s">
        <v>304</v>
      </c>
      <c r="J667" s="13" t="s">
        <v>18</v>
      </c>
      <c r="K667" s="16"/>
    </row>
    <row r="668" spans="1:11" ht="28.9">
      <c r="A668" s="17">
        <f>_xlfn.AGGREGATE(3,1,$B$6:B668)</f>
        <v>663</v>
      </c>
      <c r="B668" s="18" t="s">
        <v>932</v>
      </c>
      <c r="C668" s="18" t="s">
        <v>937</v>
      </c>
      <c r="D668" s="21" t="s">
        <v>941</v>
      </c>
      <c r="E668" s="18" t="s">
        <v>382</v>
      </c>
      <c r="F668" s="20">
        <v>45651</v>
      </c>
      <c r="G668" s="18" t="s">
        <v>16</v>
      </c>
      <c r="H668" s="20"/>
      <c r="I668" s="18" t="s">
        <v>684</v>
      </c>
      <c r="J668" s="18" t="s">
        <v>305</v>
      </c>
      <c r="K668" s="21"/>
    </row>
    <row r="669" spans="1:11">
      <c r="A669" s="12">
        <f>_xlfn.AGGREGATE(3,1,$B$6:B669)</f>
        <v>664</v>
      </c>
      <c r="B669" s="13" t="s">
        <v>942</v>
      </c>
      <c r="C669" s="13" t="s">
        <v>943</v>
      </c>
      <c r="D669" s="16" t="s">
        <v>944</v>
      </c>
      <c r="E669" s="13" t="s">
        <v>875</v>
      </c>
      <c r="F669" s="15">
        <v>45663</v>
      </c>
      <c r="G669" s="13" t="s">
        <v>20</v>
      </c>
      <c r="H669" s="15"/>
      <c r="I669" s="13" t="s">
        <v>17</v>
      </c>
      <c r="J669" s="13" t="s">
        <v>18</v>
      </c>
      <c r="K669" s="16"/>
    </row>
    <row r="670" spans="1:11">
      <c r="A670" s="17">
        <f>_xlfn.AGGREGATE(3,1,$B$6:B670)</f>
        <v>665</v>
      </c>
      <c r="B670" s="18" t="s">
        <v>942</v>
      </c>
      <c r="C670" s="18" t="s">
        <v>945</v>
      </c>
      <c r="D670" s="21" t="s">
        <v>946</v>
      </c>
      <c r="E670" s="18" t="s">
        <v>875</v>
      </c>
      <c r="F670" s="20">
        <v>45663</v>
      </c>
      <c r="G670" s="18" t="s">
        <v>20</v>
      </c>
      <c r="H670" s="20"/>
      <c r="I670" s="18" t="s">
        <v>17</v>
      </c>
      <c r="J670" s="18" t="s">
        <v>18</v>
      </c>
      <c r="K670" s="21"/>
    </row>
    <row r="671" spans="1:11" ht="43.15">
      <c r="A671" s="12">
        <f>_xlfn.AGGREGATE(3,1,$B$6:B671)</f>
        <v>666</v>
      </c>
      <c r="B671" s="13" t="s">
        <v>942</v>
      </c>
      <c r="C671" s="13" t="s">
        <v>943</v>
      </c>
      <c r="D671" s="16" t="s">
        <v>947</v>
      </c>
      <c r="E671" s="13" t="s">
        <v>875</v>
      </c>
      <c r="F671" s="15">
        <v>45663</v>
      </c>
      <c r="G671" s="13" t="s">
        <v>20</v>
      </c>
      <c r="H671" s="15"/>
      <c r="I671" s="13" t="s">
        <v>17</v>
      </c>
      <c r="J671" s="13" t="s">
        <v>18</v>
      </c>
      <c r="K671" s="16"/>
    </row>
    <row r="672" spans="1:11" ht="28.9">
      <c r="A672" s="17">
        <f>_xlfn.AGGREGATE(3,1,$B$6:B672)</f>
        <v>667</v>
      </c>
      <c r="B672" s="18" t="s">
        <v>942</v>
      </c>
      <c r="C672" s="18" t="s">
        <v>945</v>
      </c>
      <c r="D672" s="21" t="s">
        <v>948</v>
      </c>
      <c r="E672" s="18" t="s">
        <v>875</v>
      </c>
      <c r="F672" s="20">
        <v>45663</v>
      </c>
      <c r="G672" s="18" t="s">
        <v>20</v>
      </c>
      <c r="H672" s="20"/>
      <c r="I672" s="18" t="s">
        <v>17</v>
      </c>
      <c r="J672" s="18" t="s">
        <v>18</v>
      </c>
      <c r="K672" s="21"/>
    </row>
    <row r="673" spans="1:11" ht="43.15">
      <c r="A673" s="12">
        <f>_xlfn.AGGREGATE(3,1,$B$6:B673)</f>
        <v>668</v>
      </c>
      <c r="B673" s="13" t="s">
        <v>942</v>
      </c>
      <c r="C673" s="13" t="s">
        <v>47</v>
      </c>
      <c r="D673" s="16" t="s">
        <v>949</v>
      </c>
      <c r="E673" s="13" t="s">
        <v>875</v>
      </c>
      <c r="F673" s="15">
        <v>45663</v>
      </c>
      <c r="G673" s="13" t="s">
        <v>16</v>
      </c>
      <c r="H673" s="15"/>
      <c r="I673" s="13" t="s">
        <v>17</v>
      </c>
      <c r="J673" s="13" t="s">
        <v>18</v>
      </c>
      <c r="K673" s="16"/>
    </row>
    <row r="674" spans="1:11">
      <c r="A674" s="17">
        <f>_xlfn.AGGREGATE(3,1,$B$6:B674)</f>
        <v>669</v>
      </c>
      <c r="B674" s="18" t="s">
        <v>942</v>
      </c>
      <c r="C674" s="18" t="s">
        <v>47</v>
      </c>
      <c r="D674" s="21" t="s">
        <v>950</v>
      </c>
      <c r="E674" s="18" t="s">
        <v>875</v>
      </c>
      <c r="F674" s="20">
        <v>45663</v>
      </c>
      <c r="G674" s="18" t="s">
        <v>16</v>
      </c>
      <c r="H674" s="20"/>
      <c r="I674" s="18" t="s">
        <v>684</v>
      </c>
      <c r="J674" s="18" t="s">
        <v>305</v>
      </c>
      <c r="K674" s="21"/>
    </row>
    <row r="675" spans="1:11" ht="43.15">
      <c r="A675" s="12">
        <f>_xlfn.AGGREGATE(3,1,$B$6:B675)</f>
        <v>670</v>
      </c>
      <c r="B675" s="13" t="s">
        <v>951</v>
      </c>
      <c r="C675" s="13" t="s">
        <v>47</v>
      </c>
      <c r="D675" s="16" t="s">
        <v>952</v>
      </c>
      <c r="E675" s="13" t="s">
        <v>953</v>
      </c>
      <c r="F675" s="15">
        <v>45664</v>
      </c>
      <c r="G675" s="13" t="s">
        <v>16</v>
      </c>
      <c r="H675" s="15"/>
      <c r="I675" s="13" t="s">
        <v>304</v>
      </c>
      <c r="J675" s="13" t="s">
        <v>18</v>
      </c>
      <c r="K675" s="16" t="s">
        <v>954</v>
      </c>
    </row>
    <row r="676" spans="1:11" ht="43.15">
      <c r="A676" s="17">
        <f>_xlfn.AGGREGATE(3,1,$B$6:B676)</f>
        <v>671</v>
      </c>
      <c r="B676" s="18" t="s">
        <v>951</v>
      </c>
      <c r="C676" s="18" t="s">
        <v>47</v>
      </c>
      <c r="D676" s="21" t="s">
        <v>955</v>
      </c>
      <c r="E676" s="18" t="s">
        <v>953</v>
      </c>
      <c r="F676" s="20">
        <v>45664</v>
      </c>
      <c r="G676" s="18" t="s">
        <v>16</v>
      </c>
      <c r="H676" s="20"/>
      <c r="I676" s="18" t="s">
        <v>304</v>
      </c>
      <c r="J676" s="18" t="s">
        <v>18</v>
      </c>
      <c r="K676" s="21" t="s">
        <v>954</v>
      </c>
    </row>
    <row r="677" spans="1:11" ht="28.9">
      <c r="A677" s="12">
        <f>_xlfn.AGGREGATE(3,1,$B$6:B677)</f>
        <v>672</v>
      </c>
      <c r="B677" s="13" t="s">
        <v>951</v>
      </c>
      <c r="C677" s="13" t="s">
        <v>956</v>
      </c>
      <c r="D677" s="16" t="s">
        <v>957</v>
      </c>
      <c r="E677" s="13" t="s">
        <v>953</v>
      </c>
      <c r="F677" s="15">
        <v>45664</v>
      </c>
      <c r="G677" s="13" t="s">
        <v>16</v>
      </c>
      <c r="H677" s="15"/>
      <c r="I677" s="13" t="s">
        <v>17</v>
      </c>
      <c r="J677" s="13" t="s">
        <v>18</v>
      </c>
      <c r="K677" s="16"/>
    </row>
    <row r="678" spans="1:11" ht="43.15">
      <c r="A678" s="17">
        <f>_xlfn.AGGREGATE(3,1,$B$6:B678)</f>
        <v>673</v>
      </c>
      <c r="B678" s="18" t="s">
        <v>951</v>
      </c>
      <c r="C678" s="18" t="s">
        <v>47</v>
      </c>
      <c r="D678" s="21" t="s">
        <v>958</v>
      </c>
      <c r="E678" s="18" t="s">
        <v>953</v>
      </c>
      <c r="F678" s="20">
        <v>45664</v>
      </c>
      <c r="G678" s="18" t="s">
        <v>77</v>
      </c>
      <c r="H678" s="20"/>
      <c r="I678" s="18" t="s">
        <v>304</v>
      </c>
      <c r="J678" s="18" t="s">
        <v>18</v>
      </c>
      <c r="K678" s="21"/>
    </row>
    <row r="679" spans="1:11" ht="28.9">
      <c r="A679" s="12">
        <f>_xlfn.AGGREGATE(3,1,$B$6:B679)</f>
        <v>674</v>
      </c>
      <c r="B679" s="13" t="s">
        <v>951</v>
      </c>
      <c r="C679" s="13" t="s">
        <v>956</v>
      </c>
      <c r="D679" s="16" t="s">
        <v>959</v>
      </c>
      <c r="E679" s="13" t="s">
        <v>953</v>
      </c>
      <c r="F679" s="15">
        <v>45664</v>
      </c>
      <c r="G679" s="13" t="s">
        <v>16</v>
      </c>
      <c r="H679" s="15"/>
      <c r="I679" s="13" t="s">
        <v>17</v>
      </c>
      <c r="J679" s="13" t="s">
        <v>18</v>
      </c>
      <c r="K679" s="16"/>
    </row>
    <row r="680" spans="1:11" ht="72">
      <c r="A680" s="17">
        <f>_xlfn.AGGREGATE(3,1,$B$6:B680)</f>
        <v>675</v>
      </c>
      <c r="B680" s="18" t="s">
        <v>951</v>
      </c>
      <c r="C680" s="18" t="s">
        <v>47</v>
      </c>
      <c r="D680" s="21" t="s">
        <v>960</v>
      </c>
      <c r="E680" s="18" t="s">
        <v>393</v>
      </c>
      <c r="F680" s="20">
        <v>45664</v>
      </c>
      <c r="G680" s="18" t="s">
        <v>20</v>
      </c>
      <c r="H680" s="20"/>
      <c r="I680" s="18" t="s">
        <v>26</v>
      </c>
      <c r="J680" s="18" t="s">
        <v>18</v>
      </c>
      <c r="K680" s="21"/>
    </row>
    <row r="681" spans="1:11" ht="28.9">
      <c r="A681" s="12">
        <f>_xlfn.AGGREGATE(3,1,$B$6:B681)</f>
        <v>676</v>
      </c>
      <c r="B681" s="13" t="s">
        <v>951</v>
      </c>
      <c r="C681" s="13" t="s">
        <v>47</v>
      </c>
      <c r="D681" s="16" t="s">
        <v>961</v>
      </c>
      <c r="E681" s="13" t="s">
        <v>393</v>
      </c>
      <c r="F681" s="15">
        <v>45664</v>
      </c>
      <c r="G681" s="13" t="s">
        <v>20</v>
      </c>
      <c r="H681" s="15"/>
      <c r="I681" s="13" t="s">
        <v>26</v>
      </c>
      <c r="J681" s="13" t="s">
        <v>18</v>
      </c>
      <c r="K681" s="16"/>
    </row>
    <row r="682" spans="1:11">
      <c r="A682" s="17">
        <f>_xlfn.AGGREGATE(3,1,$B$6:B682)</f>
        <v>677</v>
      </c>
      <c r="B682" s="18" t="s">
        <v>951</v>
      </c>
      <c r="C682" s="18" t="s">
        <v>47</v>
      </c>
      <c r="D682" s="21" t="s">
        <v>962</v>
      </c>
      <c r="E682" s="18" t="s">
        <v>393</v>
      </c>
      <c r="F682" s="20">
        <v>45664</v>
      </c>
      <c r="G682" s="18" t="s">
        <v>16</v>
      </c>
      <c r="H682" s="20"/>
      <c r="I682" s="18" t="s">
        <v>26</v>
      </c>
      <c r="J682" s="18" t="s">
        <v>18</v>
      </c>
      <c r="K682" s="21"/>
    </row>
    <row r="683" spans="1:11" ht="28.9">
      <c r="A683" s="12">
        <f>_xlfn.AGGREGATE(3,1,$B$6:B683)</f>
        <v>678</v>
      </c>
      <c r="B683" s="13" t="s">
        <v>951</v>
      </c>
      <c r="C683" s="13" t="s">
        <v>47</v>
      </c>
      <c r="D683" s="16" t="s">
        <v>963</v>
      </c>
      <c r="E683" s="13" t="s">
        <v>393</v>
      </c>
      <c r="F683" s="15">
        <v>45664</v>
      </c>
      <c r="G683" s="13" t="s">
        <v>77</v>
      </c>
      <c r="H683" s="15"/>
      <c r="I683" s="13" t="s">
        <v>26</v>
      </c>
      <c r="J683" s="13" t="s">
        <v>18</v>
      </c>
      <c r="K683" s="16"/>
    </row>
    <row r="684" spans="1:11" ht="57.6">
      <c r="A684" s="17">
        <f>_xlfn.AGGREGATE(3,1,$B$6:B684)</f>
        <v>679</v>
      </c>
      <c r="B684" s="18" t="s">
        <v>964</v>
      </c>
      <c r="C684" s="18" t="s">
        <v>965</v>
      </c>
      <c r="D684" s="21" t="s">
        <v>966</v>
      </c>
      <c r="E684" s="18" t="s">
        <v>868</v>
      </c>
      <c r="F684" s="20">
        <v>45679</v>
      </c>
      <c r="G684" s="18" t="s">
        <v>20</v>
      </c>
      <c r="H684" s="20"/>
      <c r="I684" s="18" t="s">
        <v>17</v>
      </c>
      <c r="J684" s="18" t="s">
        <v>18</v>
      </c>
      <c r="K684" s="21"/>
    </row>
    <row r="685" spans="1:11" ht="43.15">
      <c r="A685" s="12">
        <f>_xlfn.AGGREGATE(3,1,$B$6:B685)</f>
        <v>680</v>
      </c>
      <c r="B685" s="13" t="s">
        <v>964</v>
      </c>
      <c r="C685" s="13" t="s">
        <v>47</v>
      </c>
      <c r="D685" s="16" t="s">
        <v>967</v>
      </c>
      <c r="E685" s="13" t="s">
        <v>868</v>
      </c>
      <c r="F685" s="15">
        <v>45679</v>
      </c>
      <c r="G685" s="13" t="s">
        <v>16</v>
      </c>
      <c r="H685" s="15"/>
      <c r="I685" s="13" t="s">
        <v>26</v>
      </c>
      <c r="J685" s="13" t="s">
        <v>18</v>
      </c>
      <c r="K685" s="16"/>
    </row>
    <row r="686" spans="1:11" ht="28.9">
      <c r="A686" s="17">
        <f>_xlfn.AGGREGATE(3,1,$B$6:B686)</f>
        <v>681</v>
      </c>
      <c r="B686" s="18" t="s">
        <v>964</v>
      </c>
      <c r="C686" s="18" t="s">
        <v>47</v>
      </c>
      <c r="D686" s="21" t="s">
        <v>968</v>
      </c>
      <c r="E686" s="18" t="s">
        <v>868</v>
      </c>
      <c r="F686" s="20">
        <v>45679</v>
      </c>
      <c r="G686" s="18" t="s">
        <v>16</v>
      </c>
      <c r="H686" s="20"/>
      <c r="I686" s="18" t="s">
        <v>26</v>
      </c>
      <c r="J686" s="18" t="s">
        <v>18</v>
      </c>
      <c r="K686" s="21"/>
    </row>
    <row r="687" spans="1:11" ht="28.9">
      <c r="A687" s="12">
        <f>_xlfn.AGGREGATE(3,1,$B$6:B687)</f>
        <v>682</v>
      </c>
      <c r="B687" s="13" t="s">
        <v>964</v>
      </c>
      <c r="C687" s="13" t="s">
        <v>47</v>
      </c>
      <c r="D687" s="16" t="s">
        <v>969</v>
      </c>
      <c r="E687" s="13" t="s">
        <v>970</v>
      </c>
      <c r="F687" s="15">
        <v>45679</v>
      </c>
      <c r="G687" s="13" t="s">
        <v>77</v>
      </c>
      <c r="H687" s="15"/>
      <c r="I687" s="13" t="s">
        <v>26</v>
      </c>
      <c r="J687" s="13" t="s">
        <v>18</v>
      </c>
      <c r="K687" s="16"/>
    </row>
    <row r="688" spans="1:11" ht="28.9">
      <c r="A688" s="17">
        <f>_xlfn.AGGREGATE(3,1,$B$6:B688)</f>
        <v>683</v>
      </c>
      <c r="B688" s="18" t="s">
        <v>964</v>
      </c>
      <c r="C688" s="18" t="s">
        <v>47</v>
      </c>
      <c r="D688" s="21" t="s">
        <v>968</v>
      </c>
      <c r="E688" s="18" t="s">
        <v>970</v>
      </c>
      <c r="F688" s="20">
        <v>45679</v>
      </c>
      <c r="G688" s="18" t="s">
        <v>16</v>
      </c>
      <c r="H688" s="20"/>
      <c r="I688" s="18" t="s">
        <v>26</v>
      </c>
      <c r="J688" s="18" t="s">
        <v>18</v>
      </c>
      <c r="K688" s="21"/>
    </row>
    <row r="689" spans="1:11" ht="28.9">
      <c r="A689" s="12">
        <f>_xlfn.AGGREGATE(3,1,$B$6:B689)</f>
        <v>684</v>
      </c>
      <c r="B689" s="13" t="s">
        <v>964</v>
      </c>
      <c r="C689" s="13" t="s">
        <v>47</v>
      </c>
      <c r="D689" s="16" t="s">
        <v>971</v>
      </c>
      <c r="E689" s="13" t="s">
        <v>36</v>
      </c>
      <c r="F689" s="15">
        <v>45679</v>
      </c>
      <c r="G689" s="13" t="s">
        <v>20</v>
      </c>
      <c r="H689" s="15"/>
      <c r="I689" s="13" t="s">
        <v>304</v>
      </c>
      <c r="J689" s="13" t="s">
        <v>305</v>
      </c>
      <c r="K689" s="16" t="s">
        <v>776</v>
      </c>
    </row>
    <row r="690" spans="1:11" ht="43.15">
      <c r="A690" s="17">
        <f>_xlfn.AGGREGATE(3,1,$B$6:B690)</f>
        <v>685</v>
      </c>
      <c r="B690" s="18" t="s">
        <v>964</v>
      </c>
      <c r="C690" s="18" t="s">
        <v>47</v>
      </c>
      <c r="D690" s="21" t="s">
        <v>972</v>
      </c>
      <c r="E690" s="18" t="s">
        <v>36</v>
      </c>
      <c r="F690" s="20">
        <v>45679</v>
      </c>
      <c r="G690" s="18" t="s">
        <v>16</v>
      </c>
      <c r="H690" s="20"/>
      <c r="I690" s="18" t="s">
        <v>26</v>
      </c>
      <c r="J690" s="18" t="s">
        <v>18</v>
      </c>
      <c r="K690" s="21"/>
    </row>
    <row r="691" spans="1:11" ht="28.9">
      <c r="A691" s="12">
        <f>_xlfn.AGGREGATE(3,1,$B$6:B691)</f>
        <v>686</v>
      </c>
      <c r="B691" s="13" t="s">
        <v>964</v>
      </c>
      <c r="C691" s="13" t="s">
        <v>47</v>
      </c>
      <c r="D691" s="16" t="s">
        <v>973</v>
      </c>
      <c r="E691" s="13" t="s">
        <v>36</v>
      </c>
      <c r="F691" s="15">
        <v>45679</v>
      </c>
      <c r="G691" s="13" t="s">
        <v>16</v>
      </c>
      <c r="H691" s="15"/>
      <c r="I691" s="13" t="s">
        <v>304</v>
      </c>
      <c r="J691" s="13" t="s">
        <v>305</v>
      </c>
      <c r="K691" s="16" t="s">
        <v>776</v>
      </c>
    </row>
    <row r="692" spans="1:11" ht="72">
      <c r="A692" s="17">
        <f>_xlfn.AGGREGATE(3,1,$B$6:B692)</f>
        <v>687</v>
      </c>
      <c r="B692" s="18" t="s">
        <v>964</v>
      </c>
      <c r="C692" s="18" t="s">
        <v>47</v>
      </c>
      <c r="D692" s="21" t="s">
        <v>974</v>
      </c>
      <c r="E692" s="18" t="s">
        <v>36</v>
      </c>
      <c r="F692" s="20">
        <v>45679</v>
      </c>
      <c r="G692" s="18" t="s">
        <v>16</v>
      </c>
      <c r="H692" s="20"/>
      <c r="I692" s="18" t="s">
        <v>304</v>
      </c>
      <c r="J692" s="18" t="s">
        <v>18</v>
      </c>
      <c r="K692" s="21" t="s">
        <v>776</v>
      </c>
    </row>
    <row r="693" spans="1:11" ht="28.9">
      <c r="A693" s="23">
        <f>_xlfn.AGGREGATE(3,1,$B$6:B1130)</f>
        <v>1121</v>
      </c>
      <c r="B693" s="13" t="s">
        <v>964</v>
      </c>
      <c r="C693" s="13" t="s">
        <v>47</v>
      </c>
      <c r="D693" s="16" t="s">
        <v>968</v>
      </c>
      <c r="E693" s="13" t="s">
        <v>36</v>
      </c>
      <c r="F693" s="15">
        <v>45679</v>
      </c>
      <c r="G693" s="13" t="s">
        <v>16</v>
      </c>
      <c r="H693" s="15"/>
      <c r="I693" s="13" t="s">
        <v>26</v>
      </c>
      <c r="J693" s="13" t="s">
        <v>18</v>
      </c>
      <c r="K693" s="16"/>
    </row>
    <row r="694" spans="1:11" ht="28.9">
      <c r="A694" s="17">
        <f>_xlfn.AGGREGATE(3,1,$B$6:B692)</f>
        <v>687</v>
      </c>
      <c r="B694" s="18" t="s">
        <v>975</v>
      </c>
      <c r="C694" s="18" t="s">
        <v>47</v>
      </c>
      <c r="D694" s="21" t="s">
        <v>976</v>
      </c>
      <c r="E694" s="18" t="s">
        <v>977</v>
      </c>
      <c r="F694" s="20">
        <v>45701</v>
      </c>
      <c r="G694" s="18" t="s">
        <v>20</v>
      </c>
      <c r="H694" s="20"/>
      <c r="I694" s="18" t="s">
        <v>17</v>
      </c>
      <c r="J694" s="18" t="s">
        <v>18</v>
      </c>
      <c r="K694" s="21"/>
    </row>
    <row r="695" spans="1:11" ht="43.15">
      <c r="A695" s="12">
        <f>_xlfn.AGGREGATE(3,1,$B$6:B693)</f>
        <v>688</v>
      </c>
      <c r="B695" s="13" t="s">
        <v>975</v>
      </c>
      <c r="C695" s="13" t="s">
        <v>47</v>
      </c>
      <c r="D695" s="16" t="s">
        <v>978</v>
      </c>
      <c r="E695" s="13" t="s">
        <v>977</v>
      </c>
      <c r="F695" s="15">
        <v>45701</v>
      </c>
      <c r="G695" s="13" t="s">
        <v>20</v>
      </c>
      <c r="H695" s="15"/>
      <c r="I695" s="13" t="s">
        <v>17</v>
      </c>
      <c r="J695" s="13" t="s">
        <v>18</v>
      </c>
      <c r="K695" s="16"/>
    </row>
    <row r="696" spans="1:11" ht="57.6">
      <c r="A696" s="17">
        <f>_xlfn.AGGREGATE(3,1,$B$6:B694)</f>
        <v>689</v>
      </c>
      <c r="B696" s="18" t="s">
        <v>975</v>
      </c>
      <c r="C696" s="18" t="s">
        <v>47</v>
      </c>
      <c r="D696" s="21" t="s">
        <v>979</v>
      </c>
      <c r="E696" s="18" t="s">
        <v>977</v>
      </c>
      <c r="F696" s="20">
        <v>45701</v>
      </c>
      <c r="G696" s="18" t="s">
        <v>20</v>
      </c>
      <c r="H696" s="20"/>
      <c r="I696" s="18" t="s">
        <v>17</v>
      </c>
      <c r="J696" s="18" t="s">
        <v>18</v>
      </c>
      <c r="K696" s="21"/>
    </row>
    <row r="697" spans="1:11" ht="57.6">
      <c r="A697" s="12">
        <v>690</v>
      </c>
      <c r="B697" s="13" t="s">
        <v>980</v>
      </c>
      <c r="C697" s="13" t="s">
        <v>47</v>
      </c>
      <c r="D697" s="16" t="s">
        <v>934</v>
      </c>
      <c r="E697" s="13" t="s">
        <v>981</v>
      </c>
      <c r="F697" s="15">
        <v>45705</v>
      </c>
      <c r="G697" s="13" t="s">
        <v>20</v>
      </c>
      <c r="H697" s="15"/>
      <c r="I697" s="13" t="s">
        <v>17</v>
      </c>
      <c r="J697" s="13" t="s">
        <v>18</v>
      </c>
      <c r="K697" s="16"/>
    </row>
    <row r="698" spans="1:11">
      <c r="A698" s="17">
        <f>_xlfn.AGGREGATE(3,1,$B$6:B696)</f>
        <v>691</v>
      </c>
      <c r="B698" s="18" t="s">
        <v>980</v>
      </c>
      <c r="C698" s="18" t="s">
        <v>982</v>
      </c>
      <c r="D698" s="21" t="s">
        <v>939</v>
      </c>
      <c r="E698" s="18" t="s">
        <v>183</v>
      </c>
      <c r="F698" s="20">
        <v>45705</v>
      </c>
      <c r="G698" s="18" t="s">
        <v>16</v>
      </c>
      <c r="H698" s="20"/>
      <c r="I698" s="18" t="s">
        <v>17</v>
      </c>
      <c r="J698" s="18" t="s">
        <v>18</v>
      </c>
      <c r="K698" s="21"/>
    </row>
    <row r="699" spans="1:11" ht="28.9">
      <c r="A699" s="12">
        <f>_xlfn.AGGREGATE(3,1,$B$6:B697)</f>
        <v>692</v>
      </c>
      <c r="B699" s="13" t="s">
        <v>980</v>
      </c>
      <c r="C699" s="13" t="s">
        <v>47</v>
      </c>
      <c r="D699" s="16" t="s">
        <v>983</v>
      </c>
      <c r="E699" s="13" t="s">
        <v>896</v>
      </c>
      <c r="F699" s="15">
        <v>45705</v>
      </c>
      <c r="G699" s="13" t="s">
        <v>16</v>
      </c>
      <c r="H699" s="15"/>
      <c r="I699" s="13" t="s">
        <v>304</v>
      </c>
      <c r="J699" s="13" t="s">
        <v>18</v>
      </c>
      <c r="K699" s="16"/>
    </row>
    <row r="700" spans="1:11" ht="28.9">
      <c r="A700" s="17">
        <f>_xlfn.AGGREGATE(3,1,$B$6:B698)</f>
        <v>693</v>
      </c>
      <c r="B700" s="18" t="s">
        <v>980</v>
      </c>
      <c r="C700" s="18" t="s">
        <v>47</v>
      </c>
      <c r="D700" s="21" t="s">
        <v>984</v>
      </c>
      <c r="E700" s="18" t="s">
        <v>896</v>
      </c>
      <c r="F700" s="20">
        <v>45705</v>
      </c>
      <c r="G700" s="18" t="s">
        <v>20</v>
      </c>
      <c r="H700" s="20"/>
      <c r="I700" s="18" t="s">
        <v>304</v>
      </c>
      <c r="J700" s="18" t="s">
        <v>18</v>
      </c>
      <c r="K700" s="21"/>
    </row>
    <row r="701" spans="1:11" ht="57.6">
      <c r="A701" s="12">
        <f>_xlfn.AGGREGATE(3,1,$B$6:B699)</f>
        <v>694</v>
      </c>
      <c r="B701" s="13" t="s">
        <v>980</v>
      </c>
      <c r="C701" s="13" t="s">
        <v>47</v>
      </c>
      <c r="D701" s="16" t="s">
        <v>985</v>
      </c>
      <c r="E701" s="13" t="s">
        <v>896</v>
      </c>
      <c r="F701" s="15">
        <v>45705</v>
      </c>
      <c r="G701" s="13" t="s">
        <v>20</v>
      </c>
      <c r="H701" s="15"/>
      <c r="I701" s="13" t="s">
        <v>304</v>
      </c>
      <c r="J701" s="13" t="s">
        <v>18</v>
      </c>
      <c r="K701" s="16"/>
    </row>
    <row r="702" spans="1:11">
      <c r="A702" s="17">
        <f>_xlfn.AGGREGATE(3,1,$B$6:B700)</f>
        <v>695</v>
      </c>
      <c r="B702" s="18" t="s">
        <v>986</v>
      </c>
      <c r="C702" s="18" t="s">
        <v>987</v>
      </c>
      <c r="D702" s="21" t="s">
        <v>988</v>
      </c>
      <c r="E702" s="18" t="s">
        <v>183</v>
      </c>
      <c r="F702" s="20">
        <v>45722</v>
      </c>
      <c r="G702" s="18" t="s">
        <v>20</v>
      </c>
      <c r="H702" s="20"/>
      <c r="I702" s="18" t="s">
        <v>17</v>
      </c>
      <c r="J702" s="18" t="s">
        <v>18</v>
      </c>
      <c r="K702" s="21"/>
    </row>
    <row r="703" spans="1:11" ht="28.9">
      <c r="A703" s="12">
        <f>_xlfn.AGGREGATE(3,1,$B$6:B701)</f>
        <v>696</v>
      </c>
      <c r="B703" s="13" t="s">
        <v>986</v>
      </c>
      <c r="C703" s="13" t="s">
        <v>989</v>
      </c>
      <c r="D703" s="16" t="s">
        <v>990</v>
      </c>
      <c r="E703" s="13" t="s">
        <v>183</v>
      </c>
      <c r="F703" s="15">
        <v>45722</v>
      </c>
      <c r="G703" s="13" t="s">
        <v>20</v>
      </c>
      <c r="H703" s="15"/>
      <c r="I703" s="13" t="s">
        <v>17</v>
      </c>
      <c r="J703" s="13" t="s">
        <v>18</v>
      </c>
      <c r="K703" s="16"/>
    </row>
    <row r="704" spans="1:11" ht="28.9">
      <c r="A704" s="17">
        <f>_xlfn.AGGREGATE(3,1,$B$6:B702)</f>
        <v>697</v>
      </c>
      <c r="B704" s="18" t="s">
        <v>986</v>
      </c>
      <c r="C704" s="18" t="s">
        <v>991</v>
      </c>
      <c r="D704" s="21" t="s">
        <v>990</v>
      </c>
      <c r="E704" s="18" t="s">
        <v>183</v>
      </c>
      <c r="F704" s="20">
        <v>45722</v>
      </c>
      <c r="G704" s="18" t="s">
        <v>20</v>
      </c>
      <c r="H704" s="20"/>
      <c r="I704" s="18" t="s">
        <v>17</v>
      </c>
      <c r="J704" s="18" t="s">
        <v>18</v>
      </c>
      <c r="K704" s="21"/>
    </row>
    <row r="705" spans="1:11" ht="43.15">
      <c r="A705" s="12">
        <f>_xlfn.AGGREGATE(3,1,$B$6:B703)</f>
        <v>698</v>
      </c>
      <c r="B705" s="13" t="s">
        <v>986</v>
      </c>
      <c r="C705" s="13" t="s">
        <v>987</v>
      </c>
      <c r="D705" s="16" t="s">
        <v>992</v>
      </c>
      <c r="E705" s="13" t="s">
        <v>183</v>
      </c>
      <c r="F705" s="15">
        <v>45722</v>
      </c>
      <c r="G705" s="13" t="s">
        <v>16</v>
      </c>
      <c r="H705" s="15"/>
      <c r="I705" s="13" t="s">
        <v>17</v>
      </c>
      <c r="J705" s="13" t="s">
        <v>18</v>
      </c>
      <c r="K705" s="16"/>
    </row>
    <row r="706" spans="1:11" ht="28.9">
      <c r="A706" s="17">
        <f>_xlfn.AGGREGATE(3,1,$B$6:B704)</f>
        <v>699</v>
      </c>
      <c r="B706" s="18" t="s">
        <v>993</v>
      </c>
      <c r="C706" s="18" t="s">
        <v>47</v>
      </c>
      <c r="D706" s="21" t="s">
        <v>994</v>
      </c>
      <c r="E706" s="18" t="s">
        <v>995</v>
      </c>
      <c r="F706" s="20">
        <v>45738</v>
      </c>
      <c r="G706" s="18" t="s">
        <v>20</v>
      </c>
      <c r="H706" s="20"/>
      <c r="I706" s="18" t="s">
        <v>304</v>
      </c>
      <c r="J706" s="18" t="s">
        <v>305</v>
      </c>
      <c r="K706" s="21" t="s">
        <v>776</v>
      </c>
    </row>
    <row r="707" spans="1:11" ht="43.15">
      <c r="A707" s="12">
        <f>_xlfn.AGGREGATE(3,1,$B$6:B705)</f>
        <v>700</v>
      </c>
      <c r="B707" s="13" t="s">
        <v>993</v>
      </c>
      <c r="C707" s="13" t="s">
        <v>47</v>
      </c>
      <c r="D707" s="16" t="s">
        <v>996</v>
      </c>
      <c r="E707" s="13" t="s">
        <v>995</v>
      </c>
      <c r="F707" s="15">
        <v>45738</v>
      </c>
      <c r="G707" s="13" t="s">
        <v>20</v>
      </c>
      <c r="H707" s="15"/>
      <c r="I707" s="13" t="s">
        <v>26</v>
      </c>
      <c r="J707" s="13" t="s">
        <v>18</v>
      </c>
      <c r="K707" s="16"/>
    </row>
    <row r="708" spans="1:11" ht="28.9">
      <c r="A708" s="17">
        <f>_xlfn.AGGREGATE(3,1,$B$6:B706)</f>
        <v>701</v>
      </c>
      <c r="B708" s="18" t="s">
        <v>993</v>
      </c>
      <c r="C708" s="18" t="s">
        <v>47</v>
      </c>
      <c r="D708" s="21" t="s">
        <v>997</v>
      </c>
      <c r="E708" s="18" t="s">
        <v>995</v>
      </c>
      <c r="F708" s="20">
        <v>45738</v>
      </c>
      <c r="G708" s="18" t="s">
        <v>20</v>
      </c>
      <c r="H708" s="20"/>
      <c r="I708" s="18" t="s">
        <v>304</v>
      </c>
      <c r="J708" s="18" t="s">
        <v>305</v>
      </c>
      <c r="K708" s="21" t="s">
        <v>776</v>
      </c>
    </row>
    <row r="709" spans="1:11">
      <c r="A709" s="12">
        <f>_xlfn.AGGREGATE(3,1,$B$6:B707)</f>
        <v>702</v>
      </c>
      <c r="B709" s="13" t="s">
        <v>993</v>
      </c>
      <c r="C709" s="13" t="s">
        <v>998</v>
      </c>
      <c r="D709" s="16" t="s">
        <v>999</v>
      </c>
      <c r="E709" s="13" t="s">
        <v>995</v>
      </c>
      <c r="F709" s="15">
        <v>45738</v>
      </c>
      <c r="G709" s="13" t="s">
        <v>16</v>
      </c>
      <c r="H709" s="15"/>
      <c r="I709" s="13" t="s">
        <v>684</v>
      </c>
      <c r="J709" s="13" t="s">
        <v>305</v>
      </c>
      <c r="K709" s="16"/>
    </row>
    <row r="710" spans="1:11" ht="28.9">
      <c r="A710" s="17">
        <f>_xlfn.AGGREGATE(3,1,$B$6:B708)</f>
        <v>703</v>
      </c>
      <c r="B710" s="18" t="s">
        <v>1000</v>
      </c>
      <c r="C710" s="18" t="s">
        <v>47</v>
      </c>
      <c r="D710" s="21" t="s">
        <v>1001</v>
      </c>
      <c r="E710" s="18" t="s">
        <v>388</v>
      </c>
      <c r="F710" s="20">
        <v>45742</v>
      </c>
      <c r="G710" s="18" t="s">
        <v>20</v>
      </c>
      <c r="H710" s="20"/>
      <c r="I710" s="18" t="s">
        <v>26</v>
      </c>
      <c r="J710" s="18" t="s">
        <v>18</v>
      </c>
      <c r="K710" s="21"/>
    </row>
    <row r="711" spans="1:11" ht="28.9">
      <c r="A711" s="12">
        <f>_xlfn.AGGREGATE(3,1,$B$6:B709)</f>
        <v>704</v>
      </c>
      <c r="B711" s="13" t="s">
        <v>1000</v>
      </c>
      <c r="C711" s="13" t="s">
        <v>1002</v>
      </c>
      <c r="D711" s="16" t="s">
        <v>1003</v>
      </c>
      <c r="E711" s="13" t="s">
        <v>388</v>
      </c>
      <c r="F711" s="15">
        <v>45742</v>
      </c>
      <c r="G711" s="13" t="s">
        <v>77</v>
      </c>
      <c r="H711" s="15"/>
      <c r="I711" s="13" t="s">
        <v>17</v>
      </c>
      <c r="J711" s="13" t="s">
        <v>18</v>
      </c>
      <c r="K711" s="16"/>
    </row>
    <row r="712" spans="1:11" ht="28.9">
      <c r="A712" s="17">
        <f>_xlfn.AGGREGATE(3,1,$B$6:B710)</f>
        <v>705</v>
      </c>
      <c r="B712" s="18" t="s">
        <v>1000</v>
      </c>
      <c r="C712" s="18" t="s">
        <v>1002</v>
      </c>
      <c r="D712" s="21" t="s">
        <v>1004</v>
      </c>
      <c r="E712" s="18" t="s">
        <v>388</v>
      </c>
      <c r="F712" s="20">
        <v>45742</v>
      </c>
      <c r="G712" s="18" t="s">
        <v>77</v>
      </c>
      <c r="H712" s="20"/>
      <c r="I712" s="18" t="s">
        <v>684</v>
      </c>
      <c r="J712" s="18" t="s">
        <v>305</v>
      </c>
      <c r="K712" s="21"/>
    </row>
    <row r="713" spans="1:11" ht="28.9">
      <c r="A713" s="12">
        <f>_xlfn.AGGREGATE(3,1,$B$6:B711)</f>
        <v>706</v>
      </c>
      <c r="B713" s="13" t="s">
        <v>1000</v>
      </c>
      <c r="C713" s="13" t="s">
        <v>1002</v>
      </c>
      <c r="D713" s="16" t="s">
        <v>941</v>
      </c>
      <c r="E713" s="13" t="s">
        <v>388</v>
      </c>
      <c r="F713" s="15">
        <v>45742</v>
      </c>
      <c r="G713" s="13" t="s">
        <v>16</v>
      </c>
      <c r="H713" s="15"/>
      <c r="I713" s="13" t="s">
        <v>17</v>
      </c>
      <c r="J713" s="13" t="s">
        <v>18</v>
      </c>
      <c r="K713" s="16"/>
    </row>
    <row r="714" spans="1:11">
      <c r="A714" s="17">
        <f>_xlfn.AGGREGATE(3,1,$B$6:B712)</f>
        <v>707</v>
      </c>
      <c r="B714" s="18" t="s">
        <v>1000</v>
      </c>
      <c r="C714" s="18" t="s">
        <v>1002</v>
      </c>
      <c r="D714" s="21" t="s">
        <v>939</v>
      </c>
      <c r="E714" s="18" t="s">
        <v>388</v>
      </c>
      <c r="F714" s="20">
        <v>45742</v>
      </c>
      <c r="G714" s="18" t="s">
        <v>77</v>
      </c>
      <c r="H714" s="20"/>
      <c r="I714" s="18" t="s">
        <v>17</v>
      </c>
      <c r="J714" s="18" t="s">
        <v>18</v>
      </c>
      <c r="K714" s="21" t="s">
        <v>1005</v>
      </c>
    </row>
    <row r="715" spans="1:11" ht="28.9">
      <c r="A715" s="12">
        <f>_xlfn.AGGREGATE(3,1,$B$6:B713)</f>
        <v>708</v>
      </c>
      <c r="B715" s="13" t="s">
        <v>1006</v>
      </c>
      <c r="C715" s="13" t="s">
        <v>47</v>
      </c>
      <c r="D715" s="16" t="s">
        <v>1007</v>
      </c>
      <c r="E715" s="13" t="s">
        <v>118</v>
      </c>
      <c r="F715" s="15">
        <v>45750</v>
      </c>
      <c r="G715" s="13" t="s">
        <v>20</v>
      </c>
      <c r="H715" s="15"/>
      <c r="I715" s="13" t="s">
        <v>1008</v>
      </c>
      <c r="J715" s="13" t="s">
        <v>18</v>
      </c>
      <c r="K715" s="16" t="s">
        <v>1009</v>
      </c>
    </row>
    <row r="716" spans="1:11">
      <c r="A716" s="17">
        <f>_xlfn.AGGREGATE(3,1,$B$6:B714)</f>
        <v>709</v>
      </c>
      <c r="B716" s="18" t="s">
        <v>1006</v>
      </c>
      <c r="C716" s="18" t="s">
        <v>1010</v>
      </c>
      <c r="D716" s="21" t="s">
        <v>988</v>
      </c>
      <c r="E716" s="18" t="s">
        <v>183</v>
      </c>
      <c r="F716" s="20">
        <v>45750</v>
      </c>
      <c r="G716" s="18" t="s">
        <v>20</v>
      </c>
      <c r="H716" s="20"/>
      <c r="I716" s="18" t="s">
        <v>17</v>
      </c>
      <c r="J716" s="18" t="s">
        <v>18</v>
      </c>
      <c r="K716" s="21"/>
    </row>
    <row r="717" spans="1:11">
      <c r="A717" s="12">
        <f>_xlfn.AGGREGATE(3,1,$B$6:B715)</f>
        <v>710</v>
      </c>
      <c r="B717" s="13" t="s">
        <v>1006</v>
      </c>
      <c r="C717" s="13" t="s">
        <v>908</v>
      </c>
      <c r="D717" s="16" t="s">
        <v>988</v>
      </c>
      <c r="E717" s="13" t="s">
        <v>183</v>
      </c>
      <c r="F717" s="15">
        <v>45750</v>
      </c>
      <c r="G717" s="13" t="s">
        <v>20</v>
      </c>
      <c r="H717" s="15"/>
      <c r="I717" s="13" t="s">
        <v>17</v>
      </c>
      <c r="J717" s="13" t="s">
        <v>18</v>
      </c>
      <c r="K717" s="16"/>
    </row>
    <row r="718" spans="1:11">
      <c r="A718" s="17">
        <f>_xlfn.AGGREGATE(3,1,$B$6:B716)</f>
        <v>711</v>
      </c>
      <c r="B718" s="18" t="s">
        <v>1006</v>
      </c>
      <c r="C718" s="18" t="s">
        <v>908</v>
      </c>
      <c r="D718" s="21" t="s">
        <v>1011</v>
      </c>
      <c r="E718" s="18" t="s">
        <v>183</v>
      </c>
      <c r="F718" s="20">
        <v>45750</v>
      </c>
      <c r="G718" s="18" t="s">
        <v>20</v>
      </c>
      <c r="H718" s="20"/>
      <c r="I718" s="18" t="s">
        <v>17</v>
      </c>
      <c r="J718" s="18" t="s">
        <v>18</v>
      </c>
      <c r="K718" s="21"/>
    </row>
    <row r="719" spans="1:11" ht="28.9">
      <c r="A719" s="12">
        <f>_xlfn.AGGREGATE(3,1,$B$6:B717)</f>
        <v>712</v>
      </c>
      <c r="B719" s="13" t="s">
        <v>1006</v>
      </c>
      <c r="C719" s="13" t="s">
        <v>1012</v>
      </c>
      <c r="D719" s="16" t="s">
        <v>1013</v>
      </c>
      <c r="E719" s="13" t="s">
        <v>183</v>
      </c>
      <c r="F719" s="15">
        <v>45750</v>
      </c>
      <c r="G719" s="13" t="s">
        <v>20</v>
      </c>
      <c r="H719" s="15"/>
      <c r="I719" s="13" t="s">
        <v>17</v>
      </c>
      <c r="J719" s="13" t="s">
        <v>18</v>
      </c>
      <c r="K719" s="16"/>
    </row>
    <row r="720" spans="1:11" ht="43.15">
      <c r="A720" s="17">
        <f>_xlfn.AGGREGATE(3,1,$B$6:B718)</f>
        <v>713</v>
      </c>
      <c r="B720" s="18" t="s">
        <v>1006</v>
      </c>
      <c r="C720" s="18" t="s">
        <v>1010</v>
      </c>
      <c r="D720" s="21" t="s">
        <v>1014</v>
      </c>
      <c r="E720" s="18" t="s">
        <v>183</v>
      </c>
      <c r="F720" s="20">
        <v>45750</v>
      </c>
      <c r="G720" s="18" t="s">
        <v>16</v>
      </c>
      <c r="H720" s="20"/>
      <c r="I720" s="18" t="s">
        <v>17</v>
      </c>
      <c r="J720" s="18" t="s">
        <v>18</v>
      </c>
      <c r="K720" s="21"/>
    </row>
    <row r="721" spans="1:11" ht="43.15">
      <c r="A721" s="12">
        <f>_xlfn.AGGREGATE(3,1,$B$6:B719)</f>
        <v>714</v>
      </c>
      <c r="B721" s="13" t="s">
        <v>1006</v>
      </c>
      <c r="C721" s="13" t="s">
        <v>908</v>
      </c>
      <c r="D721" s="16" t="s">
        <v>1015</v>
      </c>
      <c r="E721" s="13" t="s">
        <v>183</v>
      </c>
      <c r="F721" s="15">
        <v>45750</v>
      </c>
      <c r="G721" s="13" t="s">
        <v>16</v>
      </c>
      <c r="H721" s="15"/>
      <c r="I721" s="13" t="s">
        <v>17</v>
      </c>
      <c r="J721" s="13" t="s">
        <v>18</v>
      </c>
      <c r="K721" s="16"/>
    </row>
    <row r="722" spans="1:11" ht="28.9">
      <c r="A722" s="17">
        <f>_xlfn.AGGREGATE(3,1,$B$6:B720)</f>
        <v>715</v>
      </c>
      <c r="B722" s="18" t="s">
        <v>1016</v>
      </c>
      <c r="C722" s="18" t="s">
        <v>1017</v>
      </c>
      <c r="D722" s="21" t="s">
        <v>1018</v>
      </c>
      <c r="E722" s="18" t="s">
        <v>1019</v>
      </c>
      <c r="F722" s="20">
        <v>45751</v>
      </c>
      <c r="G722" s="18" t="s">
        <v>16</v>
      </c>
      <c r="H722" s="20"/>
      <c r="I722" s="18" t="s">
        <v>17</v>
      </c>
      <c r="J722" s="18" t="s">
        <v>18</v>
      </c>
      <c r="K722" s="21"/>
    </row>
    <row r="723" spans="1:11" ht="57.6">
      <c r="A723" s="12">
        <f>_xlfn.AGGREGATE(3,1,$B$6:B721)</f>
        <v>716</v>
      </c>
      <c r="B723" s="13" t="s">
        <v>1016</v>
      </c>
      <c r="C723" s="13" t="s">
        <v>1017</v>
      </c>
      <c r="D723" s="16" t="s">
        <v>1020</v>
      </c>
      <c r="E723" s="13" t="s">
        <v>1019</v>
      </c>
      <c r="F723" s="15">
        <v>45751</v>
      </c>
      <c r="G723" s="13" t="s">
        <v>16</v>
      </c>
      <c r="H723" s="15"/>
      <c r="I723" s="13" t="s">
        <v>684</v>
      </c>
      <c r="J723" s="13" t="s">
        <v>305</v>
      </c>
      <c r="K723" s="16"/>
    </row>
    <row r="724" spans="1:11" ht="28.9">
      <c r="A724" s="17">
        <f>_xlfn.AGGREGATE(3,1,$B$6:B722)</f>
        <v>717</v>
      </c>
      <c r="B724" s="18" t="s">
        <v>1021</v>
      </c>
      <c r="C724" s="18" t="s">
        <v>1022</v>
      </c>
      <c r="D724" s="21" t="s">
        <v>1023</v>
      </c>
      <c r="E724" s="18" t="s">
        <v>183</v>
      </c>
      <c r="F724" s="20">
        <v>45757</v>
      </c>
      <c r="G724" s="18" t="s">
        <v>20</v>
      </c>
      <c r="H724" s="20"/>
      <c r="I724" s="18" t="s">
        <v>17</v>
      </c>
      <c r="J724" s="18" t="s">
        <v>18</v>
      </c>
      <c r="K724" s="21"/>
    </row>
    <row r="725" spans="1:11" ht="28.9">
      <c r="A725" s="23">
        <v>718</v>
      </c>
      <c r="B725" s="13" t="s">
        <v>1021</v>
      </c>
      <c r="C725" s="13" t="s">
        <v>1024</v>
      </c>
      <c r="D725" s="16" t="s">
        <v>1025</v>
      </c>
      <c r="E725" s="13" t="s">
        <v>183</v>
      </c>
      <c r="F725" s="15">
        <v>45757</v>
      </c>
      <c r="G725" s="13" t="s">
        <v>20</v>
      </c>
      <c r="H725" s="15"/>
      <c r="I725" s="13" t="s">
        <v>17</v>
      </c>
      <c r="J725" s="13" t="s">
        <v>18</v>
      </c>
      <c r="K725" s="16"/>
    </row>
    <row r="726" spans="1:11" ht="28.9">
      <c r="A726" s="17">
        <f>_xlfn.AGGREGATE(3,1,$B$6:B724)</f>
        <v>719</v>
      </c>
      <c r="B726" s="18" t="s">
        <v>1021</v>
      </c>
      <c r="C726" s="18" t="s">
        <v>1026</v>
      </c>
      <c r="D726" s="21" t="s">
        <v>1027</v>
      </c>
      <c r="E726" s="18" t="s">
        <v>183</v>
      </c>
      <c r="F726" s="20">
        <v>45757</v>
      </c>
      <c r="G726" s="18" t="s">
        <v>20</v>
      </c>
      <c r="H726" s="20"/>
      <c r="I726" s="18" t="s">
        <v>26</v>
      </c>
      <c r="J726" s="18" t="s">
        <v>18</v>
      </c>
      <c r="K726" s="21"/>
    </row>
    <row r="727" spans="1:11" ht="56.25" customHeight="1">
      <c r="A727" s="12">
        <f>_xlfn.AGGREGATE(3,1,$B$6:B725)</f>
        <v>720</v>
      </c>
      <c r="B727" s="13" t="s">
        <v>1028</v>
      </c>
      <c r="C727" s="13" t="s">
        <v>47</v>
      </c>
      <c r="D727" s="16" t="s">
        <v>1029</v>
      </c>
      <c r="E727" s="13" t="s">
        <v>183</v>
      </c>
      <c r="F727" s="15">
        <v>45803</v>
      </c>
      <c r="G727" s="13" t="s">
        <v>20</v>
      </c>
      <c r="H727" s="15"/>
      <c r="I727" s="13" t="s">
        <v>684</v>
      </c>
      <c r="J727" s="13" t="s">
        <v>305</v>
      </c>
      <c r="K727" s="16"/>
    </row>
    <row r="728" spans="1:11" ht="28.9">
      <c r="A728" s="17">
        <f>_xlfn.AGGREGATE(3,1,$B$6:B726)</f>
        <v>721</v>
      </c>
      <c r="B728" s="18" t="s">
        <v>1028</v>
      </c>
      <c r="C728" s="18" t="s">
        <v>47</v>
      </c>
      <c r="D728" s="21" t="s">
        <v>1030</v>
      </c>
      <c r="E728" s="18" t="s">
        <v>183</v>
      </c>
      <c r="F728" s="20">
        <v>45803</v>
      </c>
      <c r="G728" s="18" t="s">
        <v>20</v>
      </c>
      <c r="H728" s="20"/>
      <c r="I728" s="18" t="s">
        <v>684</v>
      </c>
      <c r="J728" s="18" t="s">
        <v>305</v>
      </c>
      <c r="K728" s="21"/>
    </row>
    <row r="729" spans="1:11">
      <c r="A729" s="12">
        <f>_xlfn.AGGREGATE(3,1,$B$6:B727)</f>
        <v>722</v>
      </c>
      <c r="B729" s="13" t="s">
        <v>1028</v>
      </c>
      <c r="C729" s="13" t="s">
        <v>908</v>
      </c>
      <c r="D729" s="16" t="s">
        <v>1031</v>
      </c>
      <c r="E729" s="13" t="s">
        <v>183</v>
      </c>
      <c r="F729" s="15">
        <v>45803</v>
      </c>
      <c r="G729" s="13" t="s">
        <v>20</v>
      </c>
      <c r="H729" s="15"/>
      <c r="I729" s="13" t="s">
        <v>684</v>
      </c>
      <c r="J729" s="13" t="s">
        <v>305</v>
      </c>
      <c r="K729" s="16"/>
    </row>
    <row r="730" spans="1:11" ht="28.9">
      <c r="A730" s="17">
        <f>_xlfn.AGGREGATE(3,1,$B$6:B728)</f>
        <v>723</v>
      </c>
      <c r="B730" s="18" t="s">
        <v>1028</v>
      </c>
      <c r="C730" s="18" t="s">
        <v>1032</v>
      </c>
      <c r="D730" s="21" t="s">
        <v>1033</v>
      </c>
      <c r="E730" s="18" t="s">
        <v>183</v>
      </c>
      <c r="F730" s="20">
        <v>45803</v>
      </c>
      <c r="G730" s="18" t="s">
        <v>16</v>
      </c>
      <c r="H730" s="20"/>
      <c r="I730" s="18" t="s">
        <v>17</v>
      </c>
      <c r="J730" s="18" t="s">
        <v>18</v>
      </c>
      <c r="K730" s="21"/>
    </row>
    <row r="731" spans="1:11" ht="42" customHeight="1">
      <c r="A731" s="12">
        <f>_xlfn.AGGREGATE(3,1,$B$6:B729)</f>
        <v>724</v>
      </c>
      <c r="B731" s="13" t="s">
        <v>1028</v>
      </c>
      <c r="C731" s="13" t="s">
        <v>47</v>
      </c>
      <c r="D731" s="16" t="s">
        <v>1034</v>
      </c>
      <c r="E731" s="13" t="s">
        <v>183</v>
      </c>
      <c r="F731" s="15">
        <v>45803</v>
      </c>
      <c r="G731" s="13" t="s">
        <v>16</v>
      </c>
      <c r="H731" s="15"/>
      <c r="I731" s="13" t="s">
        <v>684</v>
      </c>
      <c r="J731" s="13" t="s">
        <v>305</v>
      </c>
      <c r="K731" s="16"/>
    </row>
    <row r="732" spans="1:11" ht="28.9">
      <c r="A732" s="17">
        <f>_xlfn.AGGREGATE(3,1,$B$6:B730)</f>
        <v>725</v>
      </c>
      <c r="B732" s="18" t="s">
        <v>1035</v>
      </c>
      <c r="C732" s="18" t="s">
        <v>1036</v>
      </c>
      <c r="D732" s="21" t="s">
        <v>1037</v>
      </c>
      <c r="E732" s="18" t="s">
        <v>183</v>
      </c>
      <c r="F732" s="20">
        <v>45819</v>
      </c>
      <c r="G732" s="18" t="s">
        <v>20</v>
      </c>
      <c r="H732" s="20"/>
      <c r="I732" s="18" t="s">
        <v>684</v>
      </c>
      <c r="J732" s="18" t="s">
        <v>305</v>
      </c>
      <c r="K732" s="21"/>
    </row>
    <row r="733" spans="1:11" ht="43.15">
      <c r="A733" s="12">
        <f>_xlfn.AGGREGATE(3,1,$B$6:B731)</f>
        <v>726</v>
      </c>
      <c r="B733" s="13" t="s">
        <v>1035</v>
      </c>
      <c r="C733" s="13" t="s">
        <v>47</v>
      </c>
      <c r="D733" s="16" t="s">
        <v>1038</v>
      </c>
      <c r="E733" s="13" t="s">
        <v>183</v>
      </c>
      <c r="F733" s="15">
        <v>45819</v>
      </c>
      <c r="G733" s="13" t="s">
        <v>16</v>
      </c>
      <c r="H733" s="15"/>
      <c r="I733" s="13" t="s">
        <v>684</v>
      </c>
      <c r="J733" s="13" t="s">
        <v>305</v>
      </c>
      <c r="K733" s="16"/>
    </row>
    <row r="734" spans="1:11">
      <c r="A734" s="17">
        <f>_xlfn.AGGREGATE(3,1,$B$6:B732)</f>
        <v>727</v>
      </c>
      <c r="B734" s="18" t="s">
        <v>1035</v>
      </c>
      <c r="C734" s="18" t="s">
        <v>1039</v>
      </c>
      <c r="D734" s="21" t="s">
        <v>1040</v>
      </c>
      <c r="E734" s="18" t="s">
        <v>183</v>
      </c>
      <c r="F734" s="20">
        <v>45819</v>
      </c>
      <c r="G734" s="18" t="s">
        <v>16</v>
      </c>
      <c r="H734" s="20"/>
      <c r="I734" s="18" t="s">
        <v>684</v>
      </c>
      <c r="J734" s="18" t="s">
        <v>305</v>
      </c>
      <c r="K734" s="21"/>
    </row>
    <row r="735" spans="1:11">
      <c r="A735" s="12">
        <f>_xlfn.AGGREGATE(3,1,$B$6:B733)</f>
        <v>728</v>
      </c>
      <c r="B735" s="13" t="s">
        <v>1035</v>
      </c>
      <c r="C735" s="13" t="s">
        <v>1010</v>
      </c>
      <c r="D735" s="16" t="s">
        <v>1040</v>
      </c>
      <c r="E735" s="13" t="s">
        <v>183</v>
      </c>
      <c r="F735" s="15">
        <v>45819</v>
      </c>
      <c r="G735" s="13" t="s">
        <v>16</v>
      </c>
      <c r="H735" s="15"/>
      <c r="I735" s="13" t="s">
        <v>684</v>
      </c>
      <c r="J735" s="13" t="s">
        <v>305</v>
      </c>
      <c r="K735" s="16"/>
    </row>
    <row r="736" spans="1:11" ht="28.9">
      <c r="A736" s="17">
        <f>_xlfn.AGGREGATE(3,1,$B$6:B734)</f>
        <v>729</v>
      </c>
      <c r="B736" s="18" t="s">
        <v>1041</v>
      </c>
      <c r="C736" s="18" t="s">
        <v>1042</v>
      </c>
      <c r="D736" s="21" t="s">
        <v>1043</v>
      </c>
      <c r="E736" s="18" t="s">
        <v>183</v>
      </c>
      <c r="F736" s="20">
        <v>45845</v>
      </c>
      <c r="G736" s="18" t="s">
        <v>20</v>
      </c>
      <c r="H736" s="20"/>
      <c r="I736" s="18" t="s">
        <v>17</v>
      </c>
      <c r="J736" s="18" t="s">
        <v>18</v>
      </c>
      <c r="K736" s="21"/>
    </row>
    <row r="737" spans="1:11">
      <c r="A737" s="12">
        <f>_xlfn.AGGREGATE(3,1,$B$6:B735)</f>
        <v>730</v>
      </c>
      <c r="B737" s="13" t="s">
        <v>1041</v>
      </c>
      <c r="C737" s="13" t="s">
        <v>1024</v>
      </c>
      <c r="D737" s="16" t="s">
        <v>1044</v>
      </c>
      <c r="E737" s="13" t="s">
        <v>183</v>
      </c>
      <c r="F737" s="15">
        <v>45845</v>
      </c>
      <c r="G737" s="13" t="s">
        <v>20</v>
      </c>
      <c r="H737" s="15"/>
      <c r="I737" s="13" t="s">
        <v>26</v>
      </c>
      <c r="J737" s="13" t="s">
        <v>18</v>
      </c>
      <c r="K737" s="16"/>
    </row>
    <row r="738" spans="1:11" ht="28.9">
      <c r="A738" s="17">
        <f>_xlfn.AGGREGATE(3,1,$B$6:B736)</f>
        <v>731</v>
      </c>
      <c r="B738" s="18" t="s">
        <v>1041</v>
      </c>
      <c r="C738" s="18" t="s">
        <v>876</v>
      </c>
      <c r="D738" s="21" t="s">
        <v>1045</v>
      </c>
      <c r="E738" s="18" t="s">
        <v>183</v>
      </c>
      <c r="F738" s="20">
        <v>45845</v>
      </c>
      <c r="G738" s="18" t="s">
        <v>20</v>
      </c>
      <c r="H738" s="20"/>
      <c r="I738" s="18" t="s">
        <v>17</v>
      </c>
      <c r="J738" s="18" t="s">
        <v>18</v>
      </c>
      <c r="K738" s="21"/>
    </row>
    <row r="739" spans="1:11">
      <c r="A739" s="12">
        <f>_xlfn.AGGREGATE(3,1,$B$6:B737)</f>
        <v>732</v>
      </c>
      <c r="B739" s="13" t="s">
        <v>1041</v>
      </c>
      <c r="C739" s="13" t="s">
        <v>1046</v>
      </c>
      <c r="D739" s="16" t="s">
        <v>1047</v>
      </c>
      <c r="E739" s="13" t="s">
        <v>183</v>
      </c>
      <c r="F739" s="15">
        <v>45845</v>
      </c>
      <c r="G739" s="13" t="s">
        <v>20</v>
      </c>
      <c r="H739" s="15"/>
      <c r="I739" s="13" t="s">
        <v>17</v>
      </c>
      <c r="J739" s="13" t="s">
        <v>18</v>
      </c>
      <c r="K739" s="16"/>
    </row>
    <row r="740" spans="1:11">
      <c r="A740" s="17">
        <f>_xlfn.AGGREGATE(3,1,$B$6:B738)</f>
        <v>733</v>
      </c>
      <c r="B740" s="18" t="s">
        <v>1041</v>
      </c>
      <c r="C740" s="18" t="s">
        <v>1048</v>
      </c>
      <c r="D740" s="21" t="s">
        <v>1047</v>
      </c>
      <c r="E740" s="18" t="s">
        <v>183</v>
      </c>
      <c r="F740" s="20">
        <v>45845</v>
      </c>
      <c r="G740" s="18" t="s">
        <v>20</v>
      </c>
      <c r="H740" s="20"/>
      <c r="I740" s="18" t="s">
        <v>26</v>
      </c>
      <c r="J740" s="18" t="s">
        <v>18</v>
      </c>
      <c r="K740" s="21"/>
    </row>
    <row r="741" spans="1:11">
      <c r="A741" s="12">
        <f>_xlfn.AGGREGATE(3,1,$B$6:B739)</f>
        <v>734</v>
      </c>
      <c r="B741" s="13" t="s">
        <v>1041</v>
      </c>
      <c r="C741" s="13" t="s">
        <v>1049</v>
      </c>
      <c r="D741" s="16" t="s">
        <v>988</v>
      </c>
      <c r="E741" s="13" t="s">
        <v>183</v>
      </c>
      <c r="F741" s="15">
        <v>45845</v>
      </c>
      <c r="G741" s="13" t="s">
        <v>77</v>
      </c>
      <c r="H741" s="15"/>
      <c r="I741" s="13" t="s">
        <v>684</v>
      </c>
      <c r="J741" s="13" t="s">
        <v>305</v>
      </c>
      <c r="K741" s="16"/>
    </row>
    <row r="742" spans="1:11" ht="56.25" customHeight="1">
      <c r="A742" s="17">
        <f>_xlfn.AGGREGATE(3,1,$B$6:B740)</f>
        <v>735</v>
      </c>
      <c r="B742" s="18" t="s">
        <v>1050</v>
      </c>
      <c r="C742" s="18" t="s">
        <v>1051</v>
      </c>
      <c r="D742" s="21" t="s">
        <v>1052</v>
      </c>
      <c r="E742" s="18" t="s">
        <v>1053</v>
      </c>
      <c r="F742" s="20">
        <v>45834</v>
      </c>
      <c r="G742" s="18" t="s">
        <v>20</v>
      </c>
      <c r="H742" s="20"/>
      <c r="I742" s="18" t="s">
        <v>304</v>
      </c>
      <c r="J742" s="18" t="s">
        <v>18</v>
      </c>
      <c r="K742" s="21"/>
    </row>
    <row r="743" spans="1:11" ht="57.6">
      <c r="A743" s="12">
        <f>_xlfn.AGGREGATE(3,1,$B$6:B741)</f>
        <v>736</v>
      </c>
      <c r="B743" s="13" t="s">
        <v>1050</v>
      </c>
      <c r="C743" s="13" t="s">
        <v>1051</v>
      </c>
      <c r="D743" s="16" t="s">
        <v>1054</v>
      </c>
      <c r="E743" s="13" t="s">
        <v>1053</v>
      </c>
      <c r="F743" s="15">
        <v>45834</v>
      </c>
      <c r="G743" s="13" t="s">
        <v>20</v>
      </c>
      <c r="H743" s="15"/>
      <c r="I743" s="13" t="s">
        <v>304</v>
      </c>
      <c r="J743" s="13" t="s">
        <v>305</v>
      </c>
      <c r="K743" s="16"/>
    </row>
    <row r="744" spans="1:11">
      <c r="A744" s="17">
        <f>_xlfn.AGGREGATE(3,1,$B$6:B742)</f>
        <v>737</v>
      </c>
      <c r="B744" s="18" t="s">
        <v>1050</v>
      </c>
      <c r="C744" s="18" t="s">
        <v>1051</v>
      </c>
      <c r="D744" s="21" t="s">
        <v>1055</v>
      </c>
      <c r="E744" s="18" t="s">
        <v>1053</v>
      </c>
      <c r="F744" s="20">
        <v>45834</v>
      </c>
      <c r="G744" s="18" t="s">
        <v>16</v>
      </c>
      <c r="H744" s="20"/>
      <c r="I744" s="18" t="s">
        <v>304</v>
      </c>
      <c r="J744" s="18" t="s">
        <v>305</v>
      </c>
      <c r="K744" s="21"/>
    </row>
    <row r="745" spans="1:11">
      <c r="A745" s="12">
        <f>_xlfn.AGGREGATE(3,1,$B$6:B743)</f>
        <v>738</v>
      </c>
      <c r="B745" s="13" t="s">
        <v>1050</v>
      </c>
      <c r="C745" s="13" t="s">
        <v>937</v>
      </c>
      <c r="D745" s="16" t="s">
        <v>1056</v>
      </c>
      <c r="E745" s="13" t="s">
        <v>183</v>
      </c>
      <c r="F745" s="15">
        <v>45834</v>
      </c>
      <c r="G745" s="13" t="s">
        <v>77</v>
      </c>
      <c r="H745" s="15"/>
      <c r="I745" s="13" t="s">
        <v>17</v>
      </c>
      <c r="J745" s="13" t="s">
        <v>18</v>
      </c>
      <c r="K745" s="16"/>
    </row>
    <row r="746" spans="1:11" ht="57.6">
      <c r="A746" s="17">
        <f>_xlfn.AGGREGATE(3,1,$B$6:B744)</f>
        <v>739</v>
      </c>
      <c r="B746" s="18" t="s">
        <v>1057</v>
      </c>
      <c r="C746" s="18" t="s">
        <v>47</v>
      </c>
      <c r="D746" s="21" t="s">
        <v>1058</v>
      </c>
      <c r="E746" s="18" t="s">
        <v>1059</v>
      </c>
      <c r="F746" s="20">
        <v>45848</v>
      </c>
      <c r="G746" s="18" t="s">
        <v>16</v>
      </c>
      <c r="H746" s="20"/>
      <c r="I746" s="18" t="s">
        <v>304</v>
      </c>
      <c r="J746" s="18" t="s">
        <v>18</v>
      </c>
      <c r="K746" s="21"/>
    </row>
    <row r="747" spans="1:11" ht="57.6">
      <c r="A747" s="12">
        <f>_xlfn.AGGREGATE(3,1,$B$6:B745)</f>
        <v>740</v>
      </c>
      <c r="B747" s="13" t="s">
        <v>1057</v>
      </c>
      <c r="C747" s="13" t="s">
        <v>47</v>
      </c>
      <c r="D747" s="16" t="s">
        <v>1060</v>
      </c>
      <c r="E747" s="13" t="s">
        <v>1059</v>
      </c>
      <c r="F747" s="15">
        <v>45848</v>
      </c>
      <c r="G747" s="13" t="s">
        <v>20</v>
      </c>
      <c r="H747" s="15"/>
      <c r="I747" s="13" t="s">
        <v>304</v>
      </c>
      <c r="J747" s="13" t="s">
        <v>18</v>
      </c>
      <c r="K747" s="16"/>
    </row>
    <row r="748" spans="1:11" ht="28.9">
      <c r="A748" s="17">
        <f>_xlfn.AGGREGATE(3,1,$B$6:B746)</f>
        <v>741</v>
      </c>
      <c r="B748" s="18" t="s">
        <v>1057</v>
      </c>
      <c r="C748" s="18" t="s">
        <v>47</v>
      </c>
      <c r="D748" s="21" t="s">
        <v>1061</v>
      </c>
      <c r="E748" s="18" t="s">
        <v>1059</v>
      </c>
      <c r="F748" s="20">
        <v>45848</v>
      </c>
      <c r="G748" s="18" t="s">
        <v>20</v>
      </c>
      <c r="H748" s="20"/>
      <c r="I748" s="18" t="s">
        <v>304</v>
      </c>
      <c r="J748" s="18" t="s">
        <v>18</v>
      </c>
      <c r="K748" s="21"/>
    </row>
    <row r="749" spans="1:11" ht="43.15">
      <c r="A749" s="12">
        <f>_xlfn.AGGREGATE(3,1,$B$6:B747)</f>
        <v>742</v>
      </c>
      <c r="B749" s="13" t="s">
        <v>1057</v>
      </c>
      <c r="C749" s="13" t="s">
        <v>47</v>
      </c>
      <c r="D749" s="16" t="s">
        <v>1062</v>
      </c>
      <c r="E749" s="13" t="s">
        <v>1059</v>
      </c>
      <c r="F749" s="15">
        <v>45848</v>
      </c>
      <c r="G749" s="13" t="s">
        <v>20</v>
      </c>
      <c r="H749" s="15"/>
      <c r="I749" s="13" t="s">
        <v>304</v>
      </c>
      <c r="J749" s="13" t="s">
        <v>18</v>
      </c>
      <c r="K749" s="16"/>
    </row>
    <row r="750" spans="1:11" ht="57.6">
      <c r="A750" s="17">
        <f>_xlfn.AGGREGATE(3,1,$B$6:B748)</f>
        <v>743</v>
      </c>
      <c r="B750" s="18" t="s">
        <v>1057</v>
      </c>
      <c r="C750" s="18" t="s">
        <v>47</v>
      </c>
      <c r="D750" s="21" t="s">
        <v>1063</v>
      </c>
      <c r="E750" s="18" t="s">
        <v>1059</v>
      </c>
      <c r="F750" s="20">
        <v>45848</v>
      </c>
      <c r="G750" s="18" t="s">
        <v>77</v>
      </c>
      <c r="H750" s="20"/>
      <c r="I750" s="18" t="s">
        <v>304</v>
      </c>
      <c r="J750" s="18" t="s">
        <v>18</v>
      </c>
      <c r="K750" s="21"/>
    </row>
    <row r="751" spans="1:11" ht="43.15">
      <c r="A751" s="12">
        <f>_xlfn.AGGREGATE(3,1,$B$6:B749)</f>
        <v>744</v>
      </c>
      <c r="B751" s="13" t="s">
        <v>1057</v>
      </c>
      <c r="C751" s="13" t="s">
        <v>47</v>
      </c>
      <c r="D751" s="16" t="s">
        <v>1064</v>
      </c>
      <c r="E751" s="13" t="s">
        <v>1059</v>
      </c>
      <c r="F751" s="15">
        <v>45848</v>
      </c>
      <c r="G751" s="13" t="s">
        <v>77</v>
      </c>
      <c r="H751" s="15"/>
      <c r="I751" s="13" t="s">
        <v>304</v>
      </c>
      <c r="J751" s="13" t="s">
        <v>18</v>
      </c>
      <c r="K751" s="16"/>
    </row>
    <row r="752" spans="1:11" ht="57.6">
      <c r="A752" s="17">
        <f>_xlfn.AGGREGATE(3,1,$B$6:B750)</f>
        <v>745</v>
      </c>
      <c r="B752" s="18" t="s">
        <v>1065</v>
      </c>
      <c r="C752" s="18" t="s">
        <v>47</v>
      </c>
      <c r="D752" s="21" t="s">
        <v>1066</v>
      </c>
      <c r="E752" s="18" t="s">
        <v>15</v>
      </c>
      <c r="F752" s="20">
        <v>45853</v>
      </c>
      <c r="G752" s="18" t="s">
        <v>20</v>
      </c>
      <c r="H752" s="20"/>
      <c r="I752" s="18" t="s">
        <v>304</v>
      </c>
      <c r="J752" s="18" t="s">
        <v>18</v>
      </c>
      <c r="K752" s="21"/>
    </row>
    <row r="753" spans="1:11">
      <c r="A753" s="12">
        <f>_xlfn.AGGREGATE(3,1,$B$6:B751)</f>
        <v>746</v>
      </c>
      <c r="B753" s="13" t="s">
        <v>1065</v>
      </c>
      <c r="C753" s="13" t="s">
        <v>47</v>
      </c>
      <c r="D753" s="16" t="s">
        <v>1067</v>
      </c>
      <c r="E753" s="13" t="s">
        <v>15</v>
      </c>
      <c r="F753" s="15">
        <v>45853</v>
      </c>
      <c r="G753" s="13" t="s">
        <v>16</v>
      </c>
      <c r="H753" s="15"/>
      <c r="I753" s="13" t="s">
        <v>304</v>
      </c>
      <c r="J753" s="13" t="s">
        <v>18</v>
      </c>
      <c r="K753" s="16"/>
    </row>
    <row r="754" spans="1:11">
      <c r="A754" s="17">
        <f>_xlfn.AGGREGATE(3,1,$B$6:B752)</f>
        <v>747</v>
      </c>
      <c r="B754" s="18" t="s">
        <v>1065</v>
      </c>
      <c r="C754" s="18" t="s">
        <v>47</v>
      </c>
      <c r="D754" s="21" t="s">
        <v>1068</v>
      </c>
      <c r="E754" s="18" t="s">
        <v>15</v>
      </c>
      <c r="F754" s="20">
        <v>45853</v>
      </c>
      <c r="G754" s="18" t="s">
        <v>16</v>
      </c>
      <c r="H754" s="20"/>
      <c r="I754" s="18" t="s">
        <v>304</v>
      </c>
      <c r="J754" s="18" t="s">
        <v>18</v>
      </c>
      <c r="K754" s="21"/>
    </row>
    <row r="755" spans="1:11">
      <c r="A755" s="12">
        <f>_xlfn.AGGREGATE(3,1,$B$6:B753)</f>
        <v>748</v>
      </c>
      <c r="B755" s="13" t="s">
        <v>1065</v>
      </c>
      <c r="C755" s="13" t="s">
        <v>47</v>
      </c>
      <c r="D755" s="16" t="s">
        <v>1069</v>
      </c>
      <c r="E755" s="13" t="s">
        <v>15</v>
      </c>
      <c r="F755" s="15">
        <v>45853</v>
      </c>
      <c r="G755" s="13" t="s">
        <v>77</v>
      </c>
      <c r="H755" s="15"/>
      <c r="I755" s="13" t="s">
        <v>304</v>
      </c>
      <c r="J755" s="13" t="s">
        <v>305</v>
      </c>
      <c r="K755" s="16"/>
    </row>
    <row r="756" spans="1:11" ht="58.5" customHeight="1">
      <c r="A756" s="17">
        <f>_xlfn.AGGREGATE(3,1,$B$6:B754)</f>
        <v>749</v>
      </c>
      <c r="B756" s="18" t="s">
        <v>1070</v>
      </c>
      <c r="C756" s="18" t="s">
        <v>1071</v>
      </c>
      <c r="D756" s="24" t="s">
        <v>1072</v>
      </c>
      <c r="E756" s="18" t="s">
        <v>970</v>
      </c>
      <c r="F756" s="20">
        <v>45860</v>
      </c>
      <c r="G756" s="18" t="s">
        <v>16</v>
      </c>
      <c r="H756" s="20"/>
      <c r="I756" s="18" t="s">
        <v>684</v>
      </c>
      <c r="J756" s="18" t="s">
        <v>305</v>
      </c>
      <c r="K756" s="21"/>
    </row>
    <row r="757" spans="1:11" ht="100.9">
      <c r="A757" s="12">
        <f>_xlfn.AGGREGATE(3,1,$B$6:B755)</f>
        <v>750</v>
      </c>
      <c r="B757" s="13" t="s">
        <v>1070</v>
      </c>
      <c r="C757" s="13" t="s">
        <v>890</v>
      </c>
      <c r="D757" s="16" t="s">
        <v>1073</v>
      </c>
      <c r="E757" s="13" t="s">
        <v>970</v>
      </c>
      <c r="F757" s="15">
        <v>45860</v>
      </c>
      <c r="G757" s="13" t="s">
        <v>16</v>
      </c>
      <c r="H757" s="15"/>
      <c r="I757" s="13" t="s">
        <v>684</v>
      </c>
      <c r="J757" s="13" t="s">
        <v>305</v>
      </c>
      <c r="K757" s="16"/>
    </row>
    <row r="758" spans="1:11" ht="43.15">
      <c r="A758" s="17">
        <f>_xlfn.AGGREGATE(3,1,$B$6:B756)</f>
        <v>751</v>
      </c>
      <c r="B758" s="18" t="s">
        <v>1070</v>
      </c>
      <c r="C758" s="18" t="s">
        <v>1071</v>
      </c>
      <c r="D758" s="21" t="s">
        <v>1074</v>
      </c>
      <c r="E758" s="18" t="s">
        <v>970</v>
      </c>
      <c r="F758" s="20">
        <v>45860</v>
      </c>
      <c r="G758" s="18" t="s">
        <v>16</v>
      </c>
      <c r="H758" s="20"/>
      <c r="I758" s="18" t="s">
        <v>17</v>
      </c>
      <c r="J758" s="18" t="s">
        <v>18</v>
      </c>
      <c r="K758" s="21" t="s">
        <v>1075</v>
      </c>
    </row>
    <row r="759" spans="1:11" ht="115.15">
      <c r="A759" s="12">
        <f>_xlfn.AGGREGATE(3,1,$B$6:B757)</f>
        <v>752</v>
      </c>
      <c r="B759" s="13" t="s">
        <v>1070</v>
      </c>
      <c r="C759" s="13" t="s">
        <v>47</v>
      </c>
      <c r="D759" s="16" t="s">
        <v>1076</v>
      </c>
      <c r="E759" s="13" t="s">
        <v>1077</v>
      </c>
      <c r="F759" s="15">
        <v>45860</v>
      </c>
      <c r="G759" s="13" t="s">
        <v>77</v>
      </c>
      <c r="H759" s="15"/>
      <c r="I759" s="13" t="s">
        <v>304</v>
      </c>
      <c r="J759" s="13" t="s">
        <v>18</v>
      </c>
      <c r="K759" s="16" t="s">
        <v>1078</v>
      </c>
    </row>
    <row r="760" spans="1:11" ht="72">
      <c r="A760" s="17">
        <f>_xlfn.AGGREGATE(3,1,$B$6:B758)</f>
        <v>753</v>
      </c>
      <c r="B760" s="18" t="s">
        <v>1079</v>
      </c>
      <c r="C760" s="18" t="s">
        <v>47</v>
      </c>
      <c r="D760" s="21" t="s">
        <v>1080</v>
      </c>
      <c r="E760" s="18" t="s">
        <v>1081</v>
      </c>
      <c r="F760" s="20">
        <v>45867</v>
      </c>
      <c r="G760" s="18" t="s">
        <v>20</v>
      </c>
      <c r="H760" s="20"/>
      <c r="I760" s="18" t="s">
        <v>304</v>
      </c>
      <c r="J760" s="18" t="s">
        <v>305</v>
      </c>
      <c r="K760" s="21"/>
    </row>
    <row r="761" spans="1:11" ht="43.15">
      <c r="A761" s="12">
        <f>_xlfn.AGGREGATE(3,1,$B$6:B759)</f>
        <v>754</v>
      </c>
      <c r="B761" s="13" t="s">
        <v>1079</v>
      </c>
      <c r="C761" s="13" t="s">
        <v>47</v>
      </c>
      <c r="D761" s="16" t="s">
        <v>1082</v>
      </c>
      <c r="E761" s="13" t="s">
        <v>1081</v>
      </c>
      <c r="F761" s="15">
        <v>45867</v>
      </c>
      <c r="G761" s="13" t="s">
        <v>16</v>
      </c>
      <c r="H761" s="15"/>
      <c r="I761" s="13" t="s">
        <v>304</v>
      </c>
      <c r="J761" s="13" t="s">
        <v>18</v>
      </c>
      <c r="K761" s="16"/>
    </row>
    <row r="762" spans="1:11" ht="28.9">
      <c r="A762" s="17">
        <f>_xlfn.AGGREGATE(3,1,$B$6:B760)</f>
        <v>755</v>
      </c>
      <c r="B762" s="18" t="s">
        <v>1079</v>
      </c>
      <c r="C762" s="18" t="s">
        <v>47</v>
      </c>
      <c r="D762" s="21" t="s">
        <v>1083</v>
      </c>
      <c r="E762" s="18" t="s">
        <v>742</v>
      </c>
      <c r="F762" s="20">
        <v>45867</v>
      </c>
      <c r="G762" s="18" t="s">
        <v>20</v>
      </c>
      <c r="H762" s="20"/>
      <c r="I762" s="18" t="s">
        <v>304</v>
      </c>
      <c r="J762" s="18" t="s">
        <v>18</v>
      </c>
      <c r="K762" s="21"/>
    </row>
    <row r="763" spans="1:11" ht="43.15">
      <c r="A763" s="12">
        <f>_xlfn.AGGREGATE(3,1,$B$6:B761)</f>
        <v>756</v>
      </c>
      <c r="B763" s="13" t="s">
        <v>1079</v>
      </c>
      <c r="C763" s="13" t="s">
        <v>47</v>
      </c>
      <c r="D763" s="16" t="s">
        <v>1084</v>
      </c>
      <c r="E763" s="13" t="s">
        <v>742</v>
      </c>
      <c r="F763" s="15">
        <v>45867</v>
      </c>
      <c r="G763" s="13" t="s">
        <v>16</v>
      </c>
      <c r="H763" s="15"/>
      <c r="I763" s="13" t="s">
        <v>304</v>
      </c>
      <c r="J763" s="13" t="s">
        <v>18</v>
      </c>
      <c r="K763" s="16"/>
    </row>
    <row r="764" spans="1:11" ht="43.15">
      <c r="A764" s="17">
        <f>_xlfn.AGGREGATE(3,1,$B$6:B762)</f>
        <v>757</v>
      </c>
      <c r="B764" s="18" t="s">
        <v>1085</v>
      </c>
      <c r="C764" s="18" t="s">
        <v>956</v>
      </c>
      <c r="D764" s="21" t="s">
        <v>1086</v>
      </c>
      <c r="E764" s="18" t="s">
        <v>1087</v>
      </c>
      <c r="F764" s="20">
        <v>45869</v>
      </c>
      <c r="G764" s="18"/>
      <c r="H764" s="20"/>
      <c r="I764" s="18" t="s">
        <v>26</v>
      </c>
      <c r="J764" s="18" t="s">
        <v>18</v>
      </c>
      <c r="K764" s="21"/>
    </row>
    <row r="765" spans="1:11" ht="43.15">
      <c r="A765" s="12">
        <f>_xlfn.AGGREGATE(3,1,$B$6:B763)</f>
        <v>758</v>
      </c>
      <c r="B765" s="13" t="s">
        <v>1085</v>
      </c>
      <c r="C765" s="13" t="s">
        <v>956</v>
      </c>
      <c r="D765" s="16" t="s">
        <v>1088</v>
      </c>
      <c r="E765" s="13" t="s">
        <v>1087</v>
      </c>
      <c r="F765" s="15">
        <v>45869</v>
      </c>
      <c r="G765" s="13"/>
      <c r="H765" s="15"/>
      <c r="I765" s="13" t="s">
        <v>26</v>
      </c>
      <c r="J765" s="13" t="s">
        <v>18</v>
      </c>
      <c r="K765" s="16"/>
    </row>
    <row r="766" spans="1:11">
      <c r="A766" s="17">
        <f>_xlfn.AGGREGATE(3,1,$B$6:B764)</f>
        <v>759</v>
      </c>
      <c r="B766" s="18" t="s">
        <v>1085</v>
      </c>
      <c r="C766" s="18" t="s">
        <v>956</v>
      </c>
      <c r="D766" s="24" t="s">
        <v>1089</v>
      </c>
      <c r="E766" s="18" t="s">
        <v>1087</v>
      </c>
      <c r="F766" s="20">
        <v>45869</v>
      </c>
      <c r="G766" s="18" t="s">
        <v>20</v>
      </c>
      <c r="H766" s="20"/>
      <c r="I766" s="18" t="s">
        <v>684</v>
      </c>
      <c r="J766" s="18" t="s">
        <v>305</v>
      </c>
      <c r="K766" s="21"/>
    </row>
    <row r="767" spans="1:11" ht="28.9">
      <c r="A767" s="12">
        <f>_xlfn.AGGREGATE(3,1,$B$6:B765)</f>
        <v>760</v>
      </c>
      <c r="B767" s="13" t="s">
        <v>1085</v>
      </c>
      <c r="C767" s="13" t="s">
        <v>1051</v>
      </c>
      <c r="D767" s="16" t="s">
        <v>1090</v>
      </c>
      <c r="E767" s="13" t="s">
        <v>1087</v>
      </c>
      <c r="F767" s="15">
        <v>45869</v>
      </c>
      <c r="G767" s="13" t="s">
        <v>16</v>
      </c>
      <c r="H767" s="15"/>
      <c r="I767" s="13" t="s">
        <v>304</v>
      </c>
      <c r="J767" s="13" t="s">
        <v>18</v>
      </c>
      <c r="K767" s="16"/>
    </row>
    <row r="768" spans="1:11" ht="43.15">
      <c r="A768" s="17">
        <f>_xlfn.AGGREGATE(3,1,$B$6:B766)</f>
        <v>761</v>
      </c>
      <c r="B768" s="18" t="s">
        <v>1091</v>
      </c>
      <c r="C768" s="18" t="s">
        <v>1036</v>
      </c>
      <c r="D768" s="21" t="s">
        <v>1086</v>
      </c>
      <c r="E768" s="18" t="s">
        <v>1092</v>
      </c>
      <c r="F768" s="20">
        <v>45869</v>
      </c>
      <c r="G768" s="18"/>
      <c r="H768" s="20"/>
      <c r="I768" s="18" t="s">
        <v>26</v>
      </c>
      <c r="J768" s="18" t="s">
        <v>18</v>
      </c>
      <c r="K768" s="21"/>
    </row>
    <row r="769" spans="1:11" ht="72">
      <c r="A769" s="12">
        <f>_xlfn.AGGREGATE(3,1,$B$6:B767)</f>
        <v>762</v>
      </c>
      <c r="B769" s="13" t="s">
        <v>1091</v>
      </c>
      <c r="C769" s="13" t="s">
        <v>1036</v>
      </c>
      <c r="D769" s="16" t="s">
        <v>1093</v>
      </c>
      <c r="E769" s="13" t="s">
        <v>1092</v>
      </c>
      <c r="F769" s="15">
        <v>45869</v>
      </c>
      <c r="G769" s="13" t="s">
        <v>20</v>
      </c>
      <c r="H769" s="15"/>
      <c r="I769" s="13" t="s">
        <v>17</v>
      </c>
      <c r="J769" s="13" t="s">
        <v>18</v>
      </c>
      <c r="K769" s="16" t="s">
        <v>1094</v>
      </c>
    </row>
    <row r="770" spans="1:11" ht="28.9">
      <c r="A770" s="17">
        <f>_xlfn.AGGREGATE(3,1,$B$6:B768)</f>
        <v>763</v>
      </c>
      <c r="B770" s="18" t="s">
        <v>1091</v>
      </c>
      <c r="C770" s="18" t="s">
        <v>1051</v>
      </c>
      <c r="D770" s="21" t="s">
        <v>1095</v>
      </c>
      <c r="E770" s="18" t="s">
        <v>1092</v>
      </c>
      <c r="F770" s="20">
        <v>45869</v>
      </c>
      <c r="G770" s="18" t="s">
        <v>20</v>
      </c>
      <c r="H770" s="20"/>
      <c r="I770" s="18" t="s">
        <v>304</v>
      </c>
      <c r="J770" s="18" t="s">
        <v>18</v>
      </c>
      <c r="K770" s="21"/>
    </row>
    <row r="771" spans="1:11" ht="57.6">
      <c r="A771" s="12">
        <f>_xlfn.AGGREGATE(3,1,$B$6:B769)</f>
        <v>764</v>
      </c>
      <c r="B771" s="13" t="s">
        <v>1091</v>
      </c>
      <c r="C771" s="13" t="s">
        <v>1051</v>
      </c>
      <c r="D771" s="16" t="s">
        <v>1096</v>
      </c>
      <c r="E771" s="13" t="s">
        <v>1092</v>
      </c>
      <c r="F771" s="15">
        <v>45869</v>
      </c>
      <c r="G771" s="13" t="s">
        <v>16</v>
      </c>
      <c r="H771" s="15"/>
      <c r="I771" s="13" t="s">
        <v>304</v>
      </c>
      <c r="J771" s="13" t="s">
        <v>305</v>
      </c>
      <c r="K771" s="16"/>
    </row>
    <row r="772" spans="1:11" ht="43.15">
      <c r="A772" s="17">
        <f>_xlfn.AGGREGATE(3,1,$B$6:B770)</f>
        <v>765</v>
      </c>
      <c r="B772" s="18" t="s">
        <v>1097</v>
      </c>
      <c r="C772" s="18" t="s">
        <v>965</v>
      </c>
      <c r="D772" s="24" t="s">
        <v>1098</v>
      </c>
      <c r="E772" s="18" t="s">
        <v>183</v>
      </c>
      <c r="F772" s="20">
        <v>45870</v>
      </c>
      <c r="G772" s="18" t="s">
        <v>20</v>
      </c>
      <c r="H772" s="20"/>
      <c r="I772" s="18" t="s">
        <v>684</v>
      </c>
      <c r="J772" s="18" t="s">
        <v>305</v>
      </c>
      <c r="K772" s="21"/>
    </row>
    <row r="773" spans="1:11" ht="28.9">
      <c r="A773" s="12">
        <f>_xlfn.AGGREGATE(3,1,$B$6:B771)</f>
        <v>766</v>
      </c>
      <c r="B773" s="13" t="s">
        <v>1097</v>
      </c>
      <c r="C773" s="13" t="s">
        <v>47</v>
      </c>
      <c r="D773" s="16" t="s">
        <v>1099</v>
      </c>
      <c r="E773" s="13" t="s">
        <v>183</v>
      </c>
      <c r="F773" s="15">
        <v>45870</v>
      </c>
      <c r="G773" s="13" t="s">
        <v>20</v>
      </c>
      <c r="H773" s="15"/>
      <c r="I773" s="13" t="s">
        <v>26</v>
      </c>
      <c r="J773" s="13" t="s">
        <v>18</v>
      </c>
      <c r="K773" s="16"/>
    </row>
    <row r="774" spans="1:11" ht="28.9">
      <c r="A774" s="17">
        <f>_xlfn.AGGREGATE(3,1,$B$6:B772)</f>
        <v>767</v>
      </c>
      <c r="B774" s="18" t="s">
        <v>1097</v>
      </c>
      <c r="C774" s="18" t="s">
        <v>1100</v>
      </c>
      <c r="D774" s="21" t="s">
        <v>1101</v>
      </c>
      <c r="E774" s="18" t="s">
        <v>183</v>
      </c>
      <c r="F774" s="20">
        <v>45870</v>
      </c>
      <c r="G774" s="18" t="s">
        <v>20</v>
      </c>
      <c r="H774" s="20"/>
      <c r="I774" s="18" t="s">
        <v>684</v>
      </c>
      <c r="J774" s="18" t="s">
        <v>18</v>
      </c>
      <c r="K774" s="21"/>
    </row>
    <row r="775" spans="1:11" ht="28.9">
      <c r="A775" s="12">
        <f>_xlfn.AGGREGATE(3,1,$B$6:B773)</f>
        <v>768</v>
      </c>
      <c r="B775" s="13" t="s">
        <v>1097</v>
      </c>
      <c r="C775" s="13" t="s">
        <v>1102</v>
      </c>
      <c r="D775" s="16" t="s">
        <v>1103</v>
      </c>
      <c r="E775" s="13" t="s">
        <v>183</v>
      </c>
      <c r="F775" s="15">
        <v>45870</v>
      </c>
      <c r="G775" s="13" t="s">
        <v>20</v>
      </c>
      <c r="H775" s="15"/>
      <c r="I775" s="13" t="s">
        <v>26</v>
      </c>
      <c r="J775" s="13" t="s">
        <v>18</v>
      </c>
      <c r="K775" s="16"/>
    </row>
    <row r="776" spans="1:11" ht="28.9">
      <c r="A776" s="17">
        <f>_xlfn.AGGREGATE(3,1,$B$6:B774)</f>
        <v>769</v>
      </c>
      <c r="B776" s="18" t="s">
        <v>1097</v>
      </c>
      <c r="C776" s="18" t="s">
        <v>1104</v>
      </c>
      <c r="D776" s="24" t="s">
        <v>1105</v>
      </c>
      <c r="E776" s="18" t="s">
        <v>183</v>
      </c>
      <c r="F776" s="20">
        <v>45870</v>
      </c>
      <c r="G776" s="18" t="s">
        <v>20</v>
      </c>
      <c r="H776" s="20"/>
      <c r="I776" s="18" t="s">
        <v>684</v>
      </c>
      <c r="J776" s="18" t="s">
        <v>18</v>
      </c>
      <c r="K776" s="21"/>
    </row>
    <row r="777" spans="1:11">
      <c r="A777" s="12">
        <f>_xlfn.AGGREGATE(3,1,$B$6:B775)</f>
        <v>770</v>
      </c>
      <c r="B777" s="13" t="s">
        <v>1097</v>
      </c>
      <c r="C777" s="13" t="s">
        <v>1106</v>
      </c>
      <c r="D777" s="16" t="s">
        <v>1107</v>
      </c>
      <c r="E777" s="13" t="s">
        <v>183</v>
      </c>
      <c r="F777" s="15">
        <v>45870</v>
      </c>
      <c r="G777" s="13" t="s">
        <v>16</v>
      </c>
      <c r="H777" s="15"/>
      <c r="I777" s="13" t="s">
        <v>684</v>
      </c>
      <c r="J777" s="13" t="s">
        <v>305</v>
      </c>
      <c r="K777" s="16"/>
    </row>
    <row r="778" spans="1:11" ht="57.6">
      <c r="A778" s="17">
        <f>_xlfn.AGGREGATE(3,1,$B$6:B776)</f>
        <v>771</v>
      </c>
      <c r="B778" s="18" t="s">
        <v>1108</v>
      </c>
      <c r="C778" s="18" t="s">
        <v>47</v>
      </c>
      <c r="D778" s="21" t="s">
        <v>1066</v>
      </c>
      <c r="E778" s="18" t="s">
        <v>15</v>
      </c>
      <c r="F778" s="20">
        <v>45874</v>
      </c>
      <c r="G778" s="18" t="s">
        <v>20</v>
      </c>
      <c r="H778" s="20"/>
      <c r="I778" s="18" t="s">
        <v>304</v>
      </c>
      <c r="J778" s="18" t="s">
        <v>18</v>
      </c>
      <c r="K778" s="21"/>
    </row>
    <row r="779" spans="1:11" ht="72">
      <c r="A779" s="12">
        <f>_xlfn.AGGREGATE(3,1,$B$6:B777)</f>
        <v>772</v>
      </c>
      <c r="B779" s="13" t="s">
        <v>1108</v>
      </c>
      <c r="C779" s="13" t="s">
        <v>47</v>
      </c>
      <c r="D779" s="16" t="s">
        <v>1109</v>
      </c>
      <c r="E779" s="13" t="s">
        <v>15</v>
      </c>
      <c r="F779" s="15">
        <v>45874</v>
      </c>
      <c r="G779" s="13" t="s">
        <v>20</v>
      </c>
      <c r="H779" s="15"/>
      <c r="I779" s="13" t="s">
        <v>304</v>
      </c>
      <c r="J779" s="13" t="s">
        <v>18</v>
      </c>
      <c r="K779" s="16"/>
    </row>
    <row r="780" spans="1:11">
      <c r="A780" s="17">
        <f>_xlfn.AGGREGATE(3,1,$B$6:B778)</f>
        <v>773</v>
      </c>
      <c r="B780" s="18" t="s">
        <v>1108</v>
      </c>
      <c r="C780" s="18" t="s">
        <v>47</v>
      </c>
      <c r="D780" s="21" t="s">
        <v>1068</v>
      </c>
      <c r="E780" s="18" t="s">
        <v>15</v>
      </c>
      <c r="F780" s="20">
        <v>45874</v>
      </c>
      <c r="G780" s="18" t="s">
        <v>20</v>
      </c>
      <c r="H780" s="20"/>
      <c r="I780" s="18" t="s">
        <v>304</v>
      </c>
      <c r="J780" s="18" t="s">
        <v>18</v>
      </c>
      <c r="K780" s="21"/>
    </row>
    <row r="781" spans="1:11" ht="72">
      <c r="A781" s="12">
        <f>_xlfn.AGGREGATE(3,1,$B$6:B779)</f>
        <v>774</v>
      </c>
      <c r="B781" s="13" t="s">
        <v>1108</v>
      </c>
      <c r="C781" s="13" t="s">
        <v>1002</v>
      </c>
      <c r="D781" s="16" t="s">
        <v>1110</v>
      </c>
      <c r="E781" s="13" t="s">
        <v>15</v>
      </c>
      <c r="F781" s="15">
        <v>45874</v>
      </c>
      <c r="G781" s="13" t="s">
        <v>20</v>
      </c>
      <c r="H781" s="15"/>
      <c r="I781" s="13" t="s">
        <v>684</v>
      </c>
      <c r="J781" s="13" t="s">
        <v>305</v>
      </c>
      <c r="K781" s="16"/>
    </row>
    <row r="782" spans="1:11" ht="28.9">
      <c r="A782" s="17">
        <f>_xlfn.AGGREGATE(3,1,$B$6:B780)</f>
        <v>775</v>
      </c>
      <c r="B782" s="18" t="s">
        <v>1111</v>
      </c>
      <c r="C782" s="18" t="s">
        <v>1112</v>
      </c>
      <c r="D782" s="21" t="s">
        <v>1113</v>
      </c>
      <c r="E782" s="18" t="s">
        <v>393</v>
      </c>
      <c r="F782" s="20">
        <v>45877</v>
      </c>
      <c r="G782" s="18" t="s">
        <v>20</v>
      </c>
      <c r="H782" s="20"/>
      <c r="I782" s="18" t="s">
        <v>684</v>
      </c>
      <c r="J782" s="18" t="s">
        <v>305</v>
      </c>
      <c r="K782" s="21"/>
    </row>
    <row r="783" spans="1:11" ht="28.9">
      <c r="A783" s="12">
        <f>_xlfn.AGGREGATE(3,1,$B$6:B781)</f>
        <v>776</v>
      </c>
      <c r="B783" s="13" t="s">
        <v>1111</v>
      </c>
      <c r="C783" s="13" t="s">
        <v>1112</v>
      </c>
      <c r="D783" s="16" t="s">
        <v>1114</v>
      </c>
      <c r="E783" s="13" t="s">
        <v>393</v>
      </c>
      <c r="F783" s="15">
        <v>45877</v>
      </c>
      <c r="G783" s="13" t="s">
        <v>20</v>
      </c>
      <c r="H783" s="15"/>
      <c r="I783" s="13" t="s">
        <v>684</v>
      </c>
      <c r="J783" s="13" t="s">
        <v>305</v>
      </c>
      <c r="K783" s="16"/>
    </row>
    <row r="784" spans="1:11">
      <c r="A784" s="17">
        <f>_xlfn.AGGREGATE(3,1,$B$6:B782)</f>
        <v>777</v>
      </c>
      <c r="B784" s="18" t="s">
        <v>1111</v>
      </c>
      <c r="C784" s="18" t="s">
        <v>47</v>
      </c>
      <c r="D784" s="21" t="s">
        <v>1115</v>
      </c>
      <c r="E784" s="18" t="s">
        <v>953</v>
      </c>
      <c r="F784" s="20">
        <v>45877</v>
      </c>
      <c r="G784" s="18" t="s">
        <v>16</v>
      </c>
      <c r="H784" s="20"/>
      <c r="I784" s="18" t="s">
        <v>304</v>
      </c>
      <c r="J784" s="18" t="s">
        <v>18</v>
      </c>
      <c r="K784" s="21"/>
    </row>
    <row r="785" spans="1:11" ht="57.6">
      <c r="A785" s="12">
        <f>_xlfn.AGGREGATE(3,1,$B$6:B783)</f>
        <v>778</v>
      </c>
      <c r="B785" s="13" t="s">
        <v>1111</v>
      </c>
      <c r="C785" s="13" t="s">
        <v>47</v>
      </c>
      <c r="D785" s="16" t="s">
        <v>1116</v>
      </c>
      <c r="E785" s="13" t="s">
        <v>953</v>
      </c>
      <c r="F785" s="15">
        <v>45877</v>
      </c>
      <c r="G785" s="13" t="s">
        <v>16</v>
      </c>
      <c r="H785" s="15"/>
      <c r="I785" s="13" t="s">
        <v>304</v>
      </c>
      <c r="J785" s="13" t="s">
        <v>18</v>
      </c>
      <c r="K785" s="16"/>
    </row>
    <row r="786" spans="1:11" ht="43.15">
      <c r="A786" s="17">
        <f>_xlfn.AGGREGATE(3,1,$B$6:B784)</f>
        <v>779</v>
      </c>
      <c r="B786" s="18" t="s">
        <v>1111</v>
      </c>
      <c r="C786" s="18" t="s">
        <v>47</v>
      </c>
      <c r="D786" s="21" t="s">
        <v>1117</v>
      </c>
      <c r="E786" s="18" t="s">
        <v>953</v>
      </c>
      <c r="F786" s="20">
        <v>45877</v>
      </c>
      <c r="G786" s="18" t="s">
        <v>16</v>
      </c>
      <c r="H786" s="20"/>
      <c r="I786" s="18" t="s">
        <v>304</v>
      </c>
      <c r="J786" s="18" t="s">
        <v>18</v>
      </c>
      <c r="K786" s="21"/>
    </row>
    <row r="787" spans="1:11" ht="43.15">
      <c r="A787" s="12">
        <f>_xlfn.AGGREGATE(3,1,$B$6:B785)</f>
        <v>780</v>
      </c>
      <c r="B787" s="13" t="s">
        <v>1111</v>
      </c>
      <c r="C787" s="13" t="s">
        <v>987</v>
      </c>
      <c r="D787" s="25" t="s">
        <v>1118</v>
      </c>
      <c r="E787" s="13" t="s">
        <v>953</v>
      </c>
      <c r="F787" s="15">
        <v>45877</v>
      </c>
      <c r="G787" s="13" t="s">
        <v>20</v>
      </c>
      <c r="H787" s="15"/>
      <c r="I787" s="13" t="s">
        <v>684</v>
      </c>
      <c r="J787" s="13" t="s">
        <v>305</v>
      </c>
      <c r="K787" s="16"/>
    </row>
    <row r="788" spans="1:11" ht="43.15">
      <c r="A788" s="17">
        <f>_xlfn.AGGREGATE(3,1,$B$6:B786)</f>
        <v>781</v>
      </c>
      <c r="B788" s="18" t="s">
        <v>1119</v>
      </c>
      <c r="C788" s="18" t="s">
        <v>47</v>
      </c>
      <c r="D788" s="21" t="s">
        <v>1120</v>
      </c>
      <c r="E788" s="18" t="s">
        <v>183</v>
      </c>
      <c r="F788" s="20">
        <v>45894</v>
      </c>
      <c r="G788" s="18" t="s">
        <v>20</v>
      </c>
      <c r="H788" s="20"/>
      <c r="I788" s="28" t="s">
        <v>684</v>
      </c>
      <c r="J788" s="18" t="s">
        <v>305</v>
      </c>
      <c r="K788" s="21"/>
    </row>
    <row r="789" spans="1:11" ht="28.9">
      <c r="A789" s="12">
        <f>_xlfn.AGGREGATE(3,1,$B$6:B787)</f>
        <v>782</v>
      </c>
      <c r="B789" s="13" t="s">
        <v>1119</v>
      </c>
      <c r="C789" s="13" t="s">
        <v>47</v>
      </c>
      <c r="D789" s="16" t="s">
        <v>1121</v>
      </c>
      <c r="E789" s="13" t="s">
        <v>183</v>
      </c>
      <c r="F789" s="15">
        <v>45894</v>
      </c>
      <c r="G789" s="13" t="s">
        <v>16</v>
      </c>
      <c r="H789" s="15"/>
      <c r="I789" s="13" t="s">
        <v>26</v>
      </c>
      <c r="J789" s="13" t="s">
        <v>18</v>
      </c>
      <c r="K789" s="16"/>
    </row>
    <row r="790" spans="1:11" ht="51.75" customHeight="1">
      <c r="A790" s="17">
        <f>_xlfn.AGGREGATE(3,1,$B$6:B788)</f>
        <v>783</v>
      </c>
      <c r="B790" s="18" t="s">
        <v>1122</v>
      </c>
      <c r="C790" s="18" t="s">
        <v>1123</v>
      </c>
      <c r="D790" s="24" t="s">
        <v>1124</v>
      </c>
      <c r="E790" s="18" t="s">
        <v>183</v>
      </c>
      <c r="F790" s="20">
        <v>45901</v>
      </c>
      <c r="G790" s="18" t="s">
        <v>20</v>
      </c>
      <c r="H790" s="20"/>
      <c r="I790" s="18" t="s">
        <v>684</v>
      </c>
      <c r="J790" s="18" t="s">
        <v>18</v>
      </c>
      <c r="K790" s="21"/>
    </row>
    <row r="791" spans="1:11" ht="41.25" customHeight="1">
      <c r="A791" s="12">
        <f>_xlfn.AGGREGATE(3,1,$B$6:B789)</f>
        <v>784</v>
      </c>
      <c r="B791" s="13" t="s">
        <v>1122</v>
      </c>
      <c r="C791" s="13" t="s">
        <v>1125</v>
      </c>
      <c r="D791" s="25" t="s">
        <v>1126</v>
      </c>
      <c r="E791" s="13" t="s">
        <v>183</v>
      </c>
      <c r="F791" s="15">
        <v>45901</v>
      </c>
      <c r="G791" s="13" t="s">
        <v>20</v>
      </c>
      <c r="H791" s="15"/>
      <c r="I791" s="13" t="s">
        <v>684</v>
      </c>
      <c r="J791" s="13" t="s">
        <v>305</v>
      </c>
      <c r="K791" s="16"/>
    </row>
    <row r="792" spans="1:11" ht="35.25" customHeight="1">
      <c r="A792" s="17">
        <f>_xlfn.AGGREGATE(3,1,$B$6:B790)</f>
        <v>785</v>
      </c>
      <c r="B792" s="18" t="s">
        <v>1122</v>
      </c>
      <c r="C792" s="18" t="s">
        <v>47</v>
      </c>
      <c r="D792" s="21" t="s">
        <v>1127</v>
      </c>
      <c r="E792" s="18" t="s">
        <v>183</v>
      </c>
      <c r="F792" s="20">
        <v>45901</v>
      </c>
      <c r="G792" s="18" t="s">
        <v>20</v>
      </c>
      <c r="H792" s="20"/>
      <c r="I792" s="18" t="s">
        <v>684</v>
      </c>
      <c r="J792" s="18" t="s">
        <v>305</v>
      </c>
      <c r="K792" s="21"/>
    </row>
    <row r="793" spans="1:11" ht="57.6">
      <c r="A793" s="12">
        <f>_xlfn.AGGREGATE(3,1,$B$6:B791)</f>
        <v>786</v>
      </c>
      <c r="B793" s="13" t="s">
        <v>1122</v>
      </c>
      <c r="C793" s="13" t="s">
        <v>47</v>
      </c>
      <c r="D793" s="16" t="s">
        <v>1128</v>
      </c>
      <c r="E793" s="13" t="s">
        <v>183</v>
      </c>
      <c r="F793" s="15">
        <v>45901</v>
      </c>
      <c r="G793" s="13" t="s">
        <v>16</v>
      </c>
      <c r="H793" s="15"/>
      <c r="I793" s="13" t="s">
        <v>684</v>
      </c>
      <c r="J793" s="13" t="s">
        <v>305</v>
      </c>
      <c r="K793" s="16"/>
    </row>
    <row r="794" spans="1:11" ht="28.9">
      <c r="A794" s="17">
        <f>_xlfn.AGGREGATE(3,1,$B$6:B792)</f>
        <v>787</v>
      </c>
      <c r="B794" s="18" t="s">
        <v>1129</v>
      </c>
      <c r="C794" s="18" t="s">
        <v>989</v>
      </c>
      <c r="D794" s="21" t="s">
        <v>1130</v>
      </c>
      <c r="E794" s="18" t="s">
        <v>183</v>
      </c>
      <c r="F794" s="20">
        <v>45903</v>
      </c>
      <c r="G794" s="18" t="s">
        <v>16</v>
      </c>
      <c r="H794" s="20"/>
      <c r="I794" s="18" t="s">
        <v>17</v>
      </c>
      <c r="J794" s="18" t="s">
        <v>18</v>
      </c>
      <c r="K794" s="21"/>
    </row>
    <row r="795" spans="1:11">
      <c r="A795" s="12">
        <f>_xlfn.AGGREGATE(3,1,$B$6:B793)</f>
        <v>788</v>
      </c>
      <c r="B795" s="13" t="s">
        <v>1129</v>
      </c>
      <c r="C795" s="13" t="s">
        <v>1106</v>
      </c>
      <c r="D795" s="16" t="s">
        <v>1131</v>
      </c>
      <c r="E795" s="13" t="s">
        <v>183</v>
      </c>
      <c r="F795" s="15">
        <v>45903</v>
      </c>
      <c r="G795" s="13" t="s">
        <v>20</v>
      </c>
      <c r="H795" s="15"/>
      <c r="I795" s="13" t="s">
        <v>684</v>
      </c>
      <c r="J795" s="13" t="s">
        <v>305</v>
      </c>
      <c r="K795" s="16"/>
    </row>
    <row r="796" spans="1:11" ht="43.15">
      <c r="A796" s="17">
        <f>_xlfn.AGGREGATE(3,1,$B$6:B794)</f>
        <v>789</v>
      </c>
      <c r="B796" s="18" t="s">
        <v>1129</v>
      </c>
      <c r="C796" s="18" t="s">
        <v>1106</v>
      </c>
      <c r="D796" s="21" t="s">
        <v>1132</v>
      </c>
      <c r="E796" s="18" t="s">
        <v>183</v>
      </c>
      <c r="F796" s="20">
        <v>45903</v>
      </c>
      <c r="G796" s="18" t="s">
        <v>16</v>
      </c>
      <c r="H796" s="20"/>
      <c r="I796" s="18" t="s">
        <v>684</v>
      </c>
      <c r="J796" s="18" t="s">
        <v>305</v>
      </c>
      <c r="K796" s="21"/>
    </row>
    <row r="797" spans="1:11" ht="43.15">
      <c r="A797" s="12">
        <f>_xlfn.AGGREGATE(3,1,$B$6:B795)</f>
        <v>790</v>
      </c>
      <c r="B797" s="13" t="s">
        <v>1129</v>
      </c>
      <c r="C797" s="13" t="s">
        <v>1133</v>
      </c>
      <c r="D797" s="25" t="s">
        <v>1134</v>
      </c>
      <c r="E797" s="13" t="s">
        <v>183</v>
      </c>
      <c r="F797" s="15">
        <v>45903</v>
      </c>
      <c r="G797" s="13" t="s">
        <v>16</v>
      </c>
      <c r="H797" s="15"/>
      <c r="I797" s="13" t="s">
        <v>684</v>
      </c>
      <c r="J797" s="13" t="s">
        <v>305</v>
      </c>
      <c r="K797" s="16"/>
    </row>
    <row r="798" spans="1:11" ht="24.75" customHeight="1">
      <c r="A798" s="17">
        <f>_xlfn.AGGREGATE(3,1,$B$6:B796)</f>
        <v>791</v>
      </c>
      <c r="B798" s="18" t="s">
        <v>1129</v>
      </c>
      <c r="C798" s="18" t="s">
        <v>1042</v>
      </c>
      <c r="D798" s="21" t="s">
        <v>1135</v>
      </c>
      <c r="E798" s="18" t="s">
        <v>183</v>
      </c>
      <c r="F798" s="20">
        <v>45903</v>
      </c>
      <c r="G798" s="18" t="s">
        <v>77</v>
      </c>
      <c r="H798" s="20"/>
      <c r="I798" s="18" t="s">
        <v>17</v>
      </c>
      <c r="J798" s="18" t="s">
        <v>18</v>
      </c>
      <c r="K798" s="21"/>
    </row>
    <row r="799" spans="1:11" ht="43.15">
      <c r="A799" s="12">
        <f>_xlfn.AGGREGATE(3,1,$B$6:B797)</f>
        <v>792</v>
      </c>
      <c r="B799" s="13" t="s">
        <v>1129</v>
      </c>
      <c r="C799" s="13" t="s">
        <v>1136</v>
      </c>
      <c r="D799" s="16" t="s">
        <v>1137</v>
      </c>
      <c r="E799" s="13" t="s">
        <v>183</v>
      </c>
      <c r="F799" s="15">
        <v>45903</v>
      </c>
      <c r="G799" s="13" t="s">
        <v>16</v>
      </c>
      <c r="H799" s="15"/>
      <c r="I799" s="13" t="s">
        <v>684</v>
      </c>
      <c r="J799" s="13" t="s">
        <v>305</v>
      </c>
      <c r="K799" s="16"/>
    </row>
    <row r="800" spans="1:11" ht="23.25" customHeight="1">
      <c r="A800" s="17">
        <f>_xlfn.AGGREGATE(3,1,$B$6:B798)</f>
        <v>793</v>
      </c>
      <c r="B800" s="18" t="s">
        <v>1138</v>
      </c>
      <c r="C800" s="18" t="s">
        <v>47</v>
      </c>
      <c r="D800" s="21" t="s">
        <v>1139</v>
      </c>
      <c r="E800" s="18" t="s">
        <v>183</v>
      </c>
      <c r="F800" s="20">
        <v>45910</v>
      </c>
      <c r="G800" s="18" t="s">
        <v>20</v>
      </c>
      <c r="H800" s="20"/>
      <c r="I800" s="18" t="s">
        <v>26</v>
      </c>
      <c r="J800" s="18" t="s">
        <v>18</v>
      </c>
      <c r="K800" s="21"/>
    </row>
    <row r="801" spans="1:11" ht="28.9">
      <c r="A801" s="12">
        <f>_xlfn.AGGREGATE(3,1,$B$6:B799)</f>
        <v>794</v>
      </c>
      <c r="B801" s="13" t="s">
        <v>1138</v>
      </c>
      <c r="C801" s="13" t="s">
        <v>47</v>
      </c>
      <c r="D801" s="16" t="s">
        <v>1140</v>
      </c>
      <c r="E801" s="13" t="s">
        <v>183</v>
      </c>
      <c r="F801" s="15">
        <v>45910</v>
      </c>
      <c r="G801" s="13" t="s">
        <v>20</v>
      </c>
      <c r="H801" s="15"/>
      <c r="I801" s="13" t="s">
        <v>26</v>
      </c>
      <c r="J801" s="13" t="s">
        <v>18</v>
      </c>
      <c r="K801" s="16"/>
    </row>
    <row r="802" spans="1:11" ht="20.25" customHeight="1">
      <c r="A802" s="17">
        <f>_xlfn.AGGREGATE(3,1,$B$6:B800)</f>
        <v>795</v>
      </c>
      <c r="B802" s="18" t="s">
        <v>1138</v>
      </c>
      <c r="C802" s="18" t="s">
        <v>886</v>
      </c>
      <c r="D802" s="24" t="s">
        <v>1141</v>
      </c>
      <c r="E802" s="18" t="s">
        <v>183</v>
      </c>
      <c r="F802" s="20">
        <v>45910</v>
      </c>
      <c r="G802" s="18" t="s">
        <v>20</v>
      </c>
      <c r="H802" s="20"/>
      <c r="I802" s="18" t="s">
        <v>684</v>
      </c>
      <c r="J802" s="18" t="s">
        <v>18</v>
      </c>
      <c r="K802" s="21"/>
    </row>
    <row r="803" spans="1:11" ht="40.5" customHeight="1">
      <c r="A803" s="12">
        <f>_xlfn.AGGREGATE(3,1,$B$6:B801)</f>
        <v>796</v>
      </c>
      <c r="B803" s="13" t="s">
        <v>1142</v>
      </c>
      <c r="C803" s="13" t="s">
        <v>47</v>
      </c>
      <c r="D803" s="16" t="s">
        <v>1143</v>
      </c>
      <c r="E803" s="13" t="s">
        <v>393</v>
      </c>
      <c r="F803" s="15">
        <v>45916</v>
      </c>
      <c r="G803" s="13" t="s">
        <v>20</v>
      </c>
      <c r="H803" s="15"/>
      <c r="I803" s="13" t="s">
        <v>304</v>
      </c>
      <c r="J803" s="13" t="s">
        <v>18</v>
      </c>
      <c r="K803" s="16"/>
    </row>
    <row r="804" spans="1:11" ht="28.9">
      <c r="A804" s="17">
        <f>_xlfn.AGGREGATE(3,1,$B$6:B802)</f>
        <v>797</v>
      </c>
      <c r="B804" s="18" t="s">
        <v>1142</v>
      </c>
      <c r="C804" s="18" t="s">
        <v>47</v>
      </c>
      <c r="D804" s="21" t="s">
        <v>1144</v>
      </c>
      <c r="E804" s="18" t="s">
        <v>393</v>
      </c>
      <c r="F804" s="20">
        <v>45916</v>
      </c>
      <c r="G804" s="18" t="s">
        <v>77</v>
      </c>
      <c r="H804" s="20"/>
      <c r="I804" s="18" t="s">
        <v>304</v>
      </c>
      <c r="J804" s="18" t="s">
        <v>305</v>
      </c>
      <c r="K804" s="21" t="s">
        <v>1145</v>
      </c>
    </row>
    <row r="805" spans="1:11" ht="28.9">
      <c r="A805" s="12">
        <f>_xlfn.AGGREGATE(3,1,$B$6:B803)</f>
        <v>798</v>
      </c>
      <c r="B805" s="13" t="s">
        <v>1142</v>
      </c>
      <c r="C805" s="13" t="s">
        <v>47</v>
      </c>
      <c r="D805" s="16" t="s">
        <v>1146</v>
      </c>
      <c r="E805" s="13" t="s">
        <v>330</v>
      </c>
      <c r="F805" s="15">
        <v>45916</v>
      </c>
      <c r="G805" s="13" t="s">
        <v>20</v>
      </c>
      <c r="H805" s="15"/>
      <c r="I805" s="13" t="s">
        <v>304</v>
      </c>
      <c r="J805" s="13" t="s">
        <v>18</v>
      </c>
      <c r="K805" s="16"/>
    </row>
    <row r="806" spans="1:11" ht="28.5" customHeight="1">
      <c r="A806" s="17">
        <f>_xlfn.AGGREGATE(3,1,$B$6:B804)</f>
        <v>799</v>
      </c>
      <c r="B806" s="18" t="s">
        <v>1142</v>
      </c>
      <c r="C806" s="18" t="s">
        <v>47</v>
      </c>
      <c r="D806" s="21" t="s">
        <v>1147</v>
      </c>
      <c r="E806" s="18" t="s">
        <v>330</v>
      </c>
      <c r="F806" s="20">
        <v>45916</v>
      </c>
      <c r="G806" s="18" t="s">
        <v>16</v>
      </c>
      <c r="H806" s="20"/>
      <c r="I806" s="18" t="s">
        <v>304</v>
      </c>
      <c r="J806" s="18" t="s">
        <v>18</v>
      </c>
      <c r="K806" s="21"/>
    </row>
    <row r="807" spans="1:11" ht="28.9">
      <c r="A807" s="12">
        <f>_xlfn.AGGREGATE(3,1,$B$6:B805)</f>
        <v>800</v>
      </c>
      <c r="B807" s="13" t="s">
        <v>1142</v>
      </c>
      <c r="C807" s="13" t="s">
        <v>47</v>
      </c>
      <c r="D807" s="16" t="s">
        <v>1148</v>
      </c>
      <c r="E807" s="13" t="s">
        <v>330</v>
      </c>
      <c r="F807" s="15">
        <v>45916</v>
      </c>
      <c r="G807" s="13" t="s">
        <v>16</v>
      </c>
      <c r="H807" s="15"/>
      <c r="I807" s="13" t="s">
        <v>304</v>
      </c>
      <c r="J807" s="13" t="s">
        <v>18</v>
      </c>
      <c r="K807" s="16"/>
    </row>
    <row r="808" spans="1:11">
      <c r="A808" s="17">
        <f>_xlfn.AGGREGATE(3,1,$B$6:B806)</f>
        <v>801</v>
      </c>
      <c r="B808" s="18" t="s">
        <v>1142</v>
      </c>
      <c r="C808" s="18" t="s">
        <v>47</v>
      </c>
      <c r="D808" s="21" t="s">
        <v>1144</v>
      </c>
      <c r="E808" s="18" t="s">
        <v>330</v>
      </c>
      <c r="F808" s="20">
        <v>45916</v>
      </c>
      <c r="G808" s="18" t="s">
        <v>77</v>
      </c>
      <c r="H808" s="20"/>
      <c r="I808" s="18" t="s">
        <v>304</v>
      </c>
      <c r="J808" s="18" t="s">
        <v>18</v>
      </c>
      <c r="K808" s="21"/>
    </row>
    <row r="809" spans="1:11" ht="51.6" customHeight="1">
      <c r="A809" s="12">
        <f>_xlfn.AGGREGATE(3,1,$B$6:B807)</f>
        <v>802</v>
      </c>
      <c r="B809" s="13" t="s">
        <v>1149</v>
      </c>
      <c r="C809" s="13" t="s">
        <v>1133</v>
      </c>
      <c r="D809" s="25" t="s">
        <v>1150</v>
      </c>
      <c r="E809" s="13" t="s">
        <v>183</v>
      </c>
      <c r="F809" s="15">
        <v>45929</v>
      </c>
      <c r="G809" s="13" t="s">
        <v>20</v>
      </c>
      <c r="H809" s="15"/>
      <c r="I809" s="13" t="s">
        <v>684</v>
      </c>
      <c r="J809" s="13" t="s">
        <v>305</v>
      </c>
      <c r="K809" s="16"/>
    </row>
    <row r="810" spans="1:11" ht="42.6" customHeight="1">
      <c r="A810" s="17">
        <f>_xlfn.AGGREGATE(3,1,$B$6:B808)</f>
        <v>803</v>
      </c>
      <c r="B810" s="18" t="s">
        <v>1149</v>
      </c>
      <c r="C810" s="18" t="s">
        <v>1010</v>
      </c>
      <c r="D810" s="21" t="s">
        <v>1151</v>
      </c>
      <c r="E810" s="18" t="s">
        <v>183</v>
      </c>
      <c r="F810" s="20">
        <v>45929</v>
      </c>
      <c r="G810" s="18" t="s">
        <v>20</v>
      </c>
      <c r="H810" s="20"/>
      <c r="I810" s="18" t="s">
        <v>684</v>
      </c>
      <c r="J810" s="18" t="s">
        <v>305</v>
      </c>
      <c r="K810" s="21"/>
    </row>
    <row r="811" spans="1:11" ht="28.9">
      <c r="A811" s="12">
        <f>_xlfn.AGGREGATE(3,1,$B$6:B809)</f>
        <v>804</v>
      </c>
      <c r="B811" s="13" t="s">
        <v>1149</v>
      </c>
      <c r="C811" s="13" t="s">
        <v>1133</v>
      </c>
      <c r="D811" s="25" t="s">
        <v>1152</v>
      </c>
      <c r="E811" s="13" t="s">
        <v>183</v>
      </c>
      <c r="F811" s="15">
        <v>45929</v>
      </c>
      <c r="G811" s="13" t="s">
        <v>77</v>
      </c>
      <c r="H811" s="15"/>
      <c r="I811" s="13" t="s">
        <v>684</v>
      </c>
      <c r="J811" s="13" t="s">
        <v>305</v>
      </c>
      <c r="K811" s="16"/>
    </row>
    <row r="812" spans="1:11" ht="28.9">
      <c r="A812" s="17">
        <f>_xlfn.AGGREGATE(3,1,$B$6:B810)</f>
        <v>805</v>
      </c>
      <c r="B812" s="18" t="s">
        <v>1153</v>
      </c>
      <c r="C812" s="18" t="s">
        <v>1154</v>
      </c>
      <c r="D812" s="24" t="s">
        <v>1155</v>
      </c>
      <c r="E812" s="18" t="s">
        <v>183</v>
      </c>
      <c r="F812" s="20">
        <v>45936</v>
      </c>
      <c r="G812" s="18" t="s">
        <v>20</v>
      </c>
      <c r="H812" s="20"/>
      <c r="I812" s="18" t="s">
        <v>684</v>
      </c>
      <c r="J812" s="18" t="s">
        <v>305</v>
      </c>
      <c r="K812" s="21"/>
    </row>
    <row r="813" spans="1:11" ht="28.9">
      <c r="A813" s="12">
        <f>_xlfn.AGGREGATE(3,1,$B$6:B811)</f>
        <v>806</v>
      </c>
      <c r="B813" s="13" t="s">
        <v>1153</v>
      </c>
      <c r="C813" s="13" t="s">
        <v>989</v>
      </c>
      <c r="D813" s="25" t="s">
        <v>1156</v>
      </c>
      <c r="E813" s="13" t="s">
        <v>183</v>
      </c>
      <c r="F813" s="15">
        <v>45936</v>
      </c>
      <c r="G813" s="13" t="s">
        <v>20</v>
      </c>
      <c r="H813" s="15"/>
      <c r="I813" s="13" t="s">
        <v>684</v>
      </c>
      <c r="J813" s="13" t="s">
        <v>305</v>
      </c>
      <c r="K813" s="16"/>
    </row>
    <row r="814" spans="1:11" ht="28.9">
      <c r="A814" s="17">
        <f>_xlfn.AGGREGATE(3,1,$B$6:B812)</f>
        <v>807</v>
      </c>
      <c r="B814" s="18" t="s">
        <v>1153</v>
      </c>
      <c r="C814" s="18" t="s">
        <v>989</v>
      </c>
      <c r="D814" s="24" t="s">
        <v>1157</v>
      </c>
      <c r="E814" s="18" t="s">
        <v>183</v>
      </c>
      <c r="F814" s="20">
        <v>45936</v>
      </c>
      <c r="G814" s="18" t="s">
        <v>20</v>
      </c>
      <c r="H814" s="20"/>
      <c r="I814" s="18" t="s">
        <v>684</v>
      </c>
      <c r="J814" s="18" t="s">
        <v>305</v>
      </c>
      <c r="K814" s="21"/>
    </row>
    <row r="815" spans="1:11" ht="28.9">
      <c r="A815" s="12">
        <f>_xlfn.AGGREGATE(3,1,$B$6:B813)</f>
        <v>808</v>
      </c>
      <c r="B815" s="13" t="s">
        <v>1153</v>
      </c>
      <c r="C815" s="13" t="s">
        <v>47</v>
      </c>
      <c r="D815" s="16" t="s">
        <v>1158</v>
      </c>
      <c r="E815" s="13" t="s">
        <v>183</v>
      </c>
      <c r="F815" s="15">
        <v>45936</v>
      </c>
      <c r="G815" s="13" t="s">
        <v>77</v>
      </c>
      <c r="H815" s="15"/>
      <c r="I815" s="13" t="s">
        <v>684</v>
      </c>
      <c r="J815" s="13" t="s">
        <v>305</v>
      </c>
      <c r="K815" s="16"/>
    </row>
    <row r="816" spans="1:11" ht="57.6">
      <c r="A816" s="12">
        <f>_xlfn.AGGREGATE(3,1,$B$6:B815)</f>
        <v>810</v>
      </c>
      <c r="B816" s="13" t="s">
        <v>1159</v>
      </c>
      <c r="C816" s="13" t="s">
        <v>47</v>
      </c>
      <c r="D816" s="16" t="s">
        <v>1160</v>
      </c>
      <c r="E816" s="13" t="s">
        <v>953</v>
      </c>
      <c r="F816" s="15">
        <v>45940</v>
      </c>
      <c r="G816" s="13" t="s">
        <v>20</v>
      </c>
      <c r="H816" s="15"/>
      <c r="I816" s="13" t="s">
        <v>246</v>
      </c>
      <c r="J816" s="13" t="s">
        <v>305</v>
      </c>
      <c r="K816" s="16"/>
    </row>
    <row r="817" spans="1:11" ht="28.9">
      <c r="A817" s="17">
        <f>_xlfn.AGGREGATE(3,1,$B$6:B815)</f>
        <v>810</v>
      </c>
      <c r="B817" s="18" t="s">
        <v>1159</v>
      </c>
      <c r="C817" s="18" t="s">
        <v>47</v>
      </c>
      <c r="D817" s="21" t="s">
        <v>1161</v>
      </c>
      <c r="E817" s="18" t="s">
        <v>953</v>
      </c>
      <c r="F817" s="20">
        <v>45940</v>
      </c>
      <c r="G817" s="18" t="s">
        <v>20</v>
      </c>
      <c r="H817" s="20"/>
      <c r="I817" s="18" t="s">
        <v>246</v>
      </c>
      <c r="J817" s="18" t="s">
        <v>305</v>
      </c>
      <c r="K817" s="21"/>
    </row>
    <row r="818" spans="1:11" ht="43.15">
      <c r="A818" s="12">
        <f>_xlfn.AGGREGATE(3,1,$B$6:B816)</f>
        <v>811</v>
      </c>
      <c r="B818" s="13" t="s">
        <v>1159</v>
      </c>
      <c r="C818" s="13" t="s">
        <v>1051</v>
      </c>
      <c r="D818" s="16" t="s">
        <v>1162</v>
      </c>
      <c r="E818" s="13" t="s">
        <v>953</v>
      </c>
      <c r="F818" s="15">
        <v>45940</v>
      </c>
      <c r="G818" s="13" t="s">
        <v>16</v>
      </c>
      <c r="H818" s="15"/>
      <c r="I818" s="13" t="s">
        <v>304</v>
      </c>
      <c r="J818" s="13" t="s">
        <v>18</v>
      </c>
      <c r="K818" s="16"/>
    </row>
    <row r="819" spans="1:11" ht="72">
      <c r="A819" s="12">
        <f>_xlfn.AGGREGATE(3,1,$B$6:B818)</f>
        <v>813</v>
      </c>
      <c r="B819" s="13" t="s">
        <v>1163</v>
      </c>
      <c r="C819" s="13" t="s">
        <v>1051</v>
      </c>
      <c r="D819" s="16" t="s">
        <v>1164</v>
      </c>
      <c r="E819" s="13" t="s">
        <v>393</v>
      </c>
      <c r="F819" s="15">
        <v>45945</v>
      </c>
      <c r="G819" s="13" t="s">
        <v>16</v>
      </c>
      <c r="H819" s="15"/>
      <c r="I819" s="13" t="s">
        <v>304</v>
      </c>
      <c r="J819" s="13" t="s">
        <v>305</v>
      </c>
      <c r="K819" s="16"/>
    </row>
    <row r="820" spans="1:11">
      <c r="A820" s="17">
        <f>_xlfn.AGGREGATE(3,1,$B$6:B818)</f>
        <v>813</v>
      </c>
      <c r="B820" s="18" t="s">
        <v>1163</v>
      </c>
      <c r="C820" s="18" t="s">
        <v>910</v>
      </c>
      <c r="D820" s="24" t="s">
        <v>1089</v>
      </c>
      <c r="E820" s="18" t="s">
        <v>393</v>
      </c>
      <c r="F820" s="20">
        <v>45945</v>
      </c>
      <c r="G820" s="18" t="s">
        <v>20</v>
      </c>
      <c r="H820" s="20"/>
      <c r="I820" s="18" t="s">
        <v>684</v>
      </c>
      <c r="J820" s="18" t="s">
        <v>305</v>
      </c>
      <c r="K820" s="21"/>
    </row>
    <row r="821" spans="1:11" ht="28.9">
      <c r="A821" s="12">
        <f>_xlfn.AGGREGATE(3,1,$B$6:B819)</f>
        <v>814</v>
      </c>
      <c r="B821" s="13" t="s">
        <v>1163</v>
      </c>
      <c r="C821" s="13" t="s">
        <v>1051</v>
      </c>
      <c r="D821" s="16" t="s">
        <v>1165</v>
      </c>
      <c r="E821" s="13" t="s">
        <v>393</v>
      </c>
      <c r="F821" s="15">
        <v>45945</v>
      </c>
      <c r="G821" s="13" t="s">
        <v>16</v>
      </c>
      <c r="H821" s="15"/>
      <c r="I821" s="13" t="s">
        <v>304</v>
      </c>
      <c r="J821" s="13" t="s">
        <v>305</v>
      </c>
      <c r="K821" s="16" t="s">
        <v>1145</v>
      </c>
    </row>
    <row r="822" spans="1:11" ht="28.9">
      <c r="A822" s="17">
        <f>_xlfn.AGGREGATE(3,1,$B$6:B820)</f>
        <v>815</v>
      </c>
      <c r="B822" s="18" t="s">
        <v>1163</v>
      </c>
      <c r="C822" s="18" t="s">
        <v>1051</v>
      </c>
      <c r="D822" s="21" t="s">
        <v>1166</v>
      </c>
      <c r="E822" s="18" t="s">
        <v>393</v>
      </c>
      <c r="F822" s="20">
        <v>45945</v>
      </c>
      <c r="G822" s="18" t="s">
        <v>16</v>
      </c>
      <c r="H822" s="20"/>
      <c r="I822" s="18" t="s">
        <v>304</v>
      </c>
      <c r="J822" s="18" t="s">
        <v>305</v>
      </c>
      <c r="K822" s="21"/>
    </row>
    <row r="823" spans="1:11" ht="57.6">
      <c r="A823" s="17">
        <f>_xlfn.AGGREGATE(3,1,$B$6:B822)</f>
        <v>817</v>
      </c>
      <c r="B823" s="18" t="s">
        <v>1167</v>
      </c>
      <c r="C823" s="18" t="s">
        <v>47</v>
      </c>
      <c r="D823" s="21" t="s">
        <v>1168</v>
      </c>
      <c r="E823" s="18" t="s">
        <v>1169</v>
      </c>
      <c r="F823" s="20">
        <v>45945</v>
      </c>
      <c r="G823" s="18"/>
      <c r="H823" s="20"/>
      <c r="I823" s="18" t="s">
        <v>214</v>
      </c>
      <c r="J823" s="18" t="s">
        <v>305</v>
      </c>
      <c r="K823" s="21"/>
    </row>
    <row r="824" spans="1:11" ht="57.6">
      <c r="A824" s="12">
        <f>_xlfn.AGGREGATE(3,1,$B$6:B822)</f>
        <v>817</v>
      </c>
      <c r="B824" s="13" t="s">
        <v>1167</v>
      </c>
      <c r="C824" s="13" t="s">
        <v>47</v>
      </c>
      <c r="D824" s="16" t="s">
        <v>1170</v>
      </c>
      <c r="E824" s="13" t="s">
        <v>1169</v>
      </c>
      <c r="F824" s="15">
        <v>45945</v>
      </c>
      <c r="G824" s="13"/>
      <c r="H824" s="15"/>
      <c r="I824" s="13" t="s">
        <v>214</v>
      </c>
      <c r="J824" s="13" t="s">
        <v>305</v>
      </c>
      <c r="K824" s="16"/>
    </row>
    <row r="825" spans="1:11" ht="100.9">
      <c r="A825" s="17">
        <f>_xlfn.AGGREGATE(3,1,$B$6:B823)</f>
        <v>818</v>
      </c>
      <c r="B825" s="18" t="s">
        <v>1167</v>
      </c>
      <c r="C825" s="18" t="s">
        <v>47</v>
      </c>
      <c r="D825" s="21" t="s">
        <v>1171</v>
      </c>
      <c r="E825" s="18" t="s">
        <v>1169</v>
      </c>
      <c r="F825" s="20">
        <v>45945</v>
      </c>
      <c r="G825" s="18"/>
      <c r="H825" s="20"/>
      <c r="I825" s="18" t="s">
        <v>214</v>
      </c>
      <c r="J825" s="18" t="s">
        <v>305</v>
      </c>
      <c r="K825" s="21"/>
    </row>
    <row r="826" spans="1:11" ht="28.9">
      <c r="A826" s="12">
        <f>_xlfn.AGGREGATE(3,1,$B$6:B824)</f>
        <v>819</v>
      </c>
      <c r="B826" s="13" t="s">
        <v>1167</v>
      </c>
      <c r="C826" s="13" t="s">
        <v>47</v>
      </c>
      <c r="D826" s="16" t="s">
        <v>1172</v>
      </c>
      <c r="E826" s="13" t="s">
        <v>1169</v>
      </c>
      <c r="F826" s="15">
        <v>45945</v>
      </c>
      <c r="G826" s="13"/>
      <c r="H826" s="15"/>
      <c r="I826" s="13" t="s">
        <v>214</v>
      </c>
      <c r="J826" s="13" t="s">
        <v>305</v>
      </c>
      <c r="K826" s="16"/>
    </row>
    <row r="827" spans="1:11" ht="72">
      <c r="A827" s="17">
        <f>_xlfn.AGGREGATE(3,1,$B$6:B825)</f>
        <v>820</v>
      </c>
      <c r="B827" s="18" t="s">
        <v>1167</v>
      </c>
      <c r="C827" s="18" t="s">
        <v>47</v>
      </c>
      <c r="D827" s="21" t="s">
        <v>1173</v>
      </c>
      <c r="E827" s="18" t="s">
        <v>1169</v>
      </c>
      <c r="F827" s="20">
        <v>45945</v>
      </c>
      <c r="G827" s="18"/>
      <c r="H827" s="20"/>
      <c r="I827" s="18" t="s">
        <v>214</v>
      </c>
      <c r="J827" s="18" t="s">
        <v>305</v>
      </c>
      <c r="K827" s="21"/>
    </row>
    <row r="828" spans="1:11" ht="72">
      <c r="A828" s="12">
        <f>_xlfn.AGGREGATE(3,1,$B$6:B826)</f>
        <v>821</v>
      </c>
      <c r="B828" s="13" t="s">
        <v>1167</v>
      </c>
      <c r="C828" s="13" t="s">
        <v>47</v>
      </c>
      <c r="D828" s="16" t="s">
        <v>1174</v>
      </c>
      <c r="E828" s="13" t="s">
        <v>1169</v>
      </c>
      <c r="F828" s="15">
        <v>45945</v>
      </c>
      <c r="G828" s="13"/>
      <c r="H828" s="15"/>
      <c r="I828" s="13" t="s">
        <v>214</v>
      </c>
      <c r="J828" s="13" t="s">
        <v>305</v>
      </c>
      <c r="K828" s="16"/>
    </row>
    <row r="829" spans="1:11" ht="43.15">
      <c r="A829" s="17">
        <f>_xlfn.AGGREGATE(3,1,$B$6:B827)</f>
        <v>822</v>
      </c>
      <c r="B829" s="18" t="s">
        <v>1167</v>
      </c>
      <c r="C829" s="18" t="s">
        <v>47</v>
      </c>
      <c r="D829" s="21" t="s">
        <v>1175</v>
      </c>
      <c r="E829" s="18" t="s">
        <v>1169</v>
      </c>
      <c r="F829" s="20">
        <v>45945</v>
      </c>
      <c r="G829" s="18"/>
      <c r="H829" s="20"/>
      <c r="I829" s="18" t="s">
        <v>214</v>
      </c>
      <c r="J829" s="18" t="s">
        <v>305</v>
      </c>
      <c r="K829" s="21"/>
    </row>
    <row r="830" spans="1:11" ht="28.9">
      <c r="A830" s="12">
        <f>_xlfn.AGGREGATE(3,1,$B$6:B828)</f>
        <v>823</v>
      </c>
      <c r="B830" s="13" t="s">
        <v>1167</v>
      </c>
      <c r="C830" s="13" t="s">
        <v>47</v>
      </c>
      <c r="D830" s="16" t="s">
        <v>1176</v>
      </c>
      <c r="E830" s="13" t="s">
        <v>1169</v>
      </c>
      <c r="F830" s="15">
        <v>45945</v>
      </c>
      <c r="G830" s="13"/>
      <c r="H830" s="15"/>
      <c r="I830" s="13" t="s">
        <v>214</v>
      </c>
      <c r="J830" s="13" t="s">
        <v>305</v>
      </c>
      <c r="K830" s="16"/>
    </row>
    <row r="831" spans="1:11" ht="43.15">
      <c r="A831" s="17">
        <f>_xlfn.AGGREGATE(3,1,$B$6:B829)</f>
        <v>824</v>
      </c>
      <c r="B831" s="18" t="s">
        <v>1167</v>
      </c>
      <c r="C831" s="18" t="s">
        <v>47</v>
      </c>
      <c r="D831" s="21" t="s">
        <v>1177</v>
      </c>
      <c r="E831" s="18" t="s">
        <v>1169</v>
      </c>
      <c r="F831" s="20">
        <v>45945</v>
      </c>
      <c r="G831" s="18"/>
      <c r="H831" s="20"/>
      <c r="I831" s="18" t="s">
        <v>214</v>
      </c>
      <c r="J831" s="18" t="s">
        <v>305</v>
      </c>
      <c r="K831" s="21"/>
    </row>
    <row r="832" spans="1:11" ht="43.15">
      <c r="A832" s="12">
        <f>_xlfn.AGGREGATE(3,1,$B$6:B830)</f>
        <v>825</v>
      </c>
      <c r="B832" s="13" t="s">
        <v>1167</v>
      </c>
      <c r="C832" s="13" t="s">
        <v>47</v>
      </c>
      <c r="D832" s="16" t="s">
        <v>1178</v>
      </c>
      <c r="E832" s="13" t="s">
        <v>1169</v>
      </c>
      <c r="F832" s="15">
        <v>45945</v>
      </c>
      <c r="G832" s="13"/>
      <c r="H832" s="15"/>
      <c r="I832" s="13" t="s">
        <v>214</v>
      </c>
      <c r="J832" s="13" t="s">
        <v>305</v>
      </c>
      <c r="K832" s="16"/>
    </row>
    <row r="833" spans="1:11" ht="43.15">
      <c r="A833" s="17">
        <f>_xlfn.AGGREGATE(3,1,$B$6:B831)</f>
        <v>826</v>
      </c>
      <c r="B833" s="18" t="s">
        <v>1167</v>
      </c>
      <c r="C833" s="18" t="s">
        <v>47</v>
      </c>
      <c r="D833" s="21" t="s">
        <v>1179</v>
      </c>
      <c r="E833" s="18" t="s">
        <v>1169</v>
      </c>
      <c r="F833" s="20">
        <v>45945</v>
      </c>
      <c r="G833" s="18"/>
      <c r="H833" s="20"/>
      <c r="I833" s="18" t="s">
        <v>214</v>
      </c>
      <c r="J833" s="18" t="s">
        <v>305</v>
      </c>
      <c r="K833" s="21"/>
    </row>
    <row r="834" spans="1:11" ht="57.6">
      <c r="A834" s="12">
        <f>_xlfn.AGGREGATE(3,1,$B$6:B832)</f>
        <v>827</v>
      </c>
      <c r="B834" s="13" t="s">
        <v>1180</v>
      </c>
      <c r="C834" s="13" t="s">
        <v>1181</v>
      </c>
      <c r="D834" s="16" t="s">
        <v>1182</v>
      </c>
      <c r="E834" s="13" t="s">
        <v>15</v>
      </c>
      <c r="F834" s="15">
        <v>45945</v>
      </c>
      <c r="G834" s="13"/>
      <c r="H834" s="15"/>
      <c r="I834" s="13" t="s">
        <v>17</v>
      </c>
      <c r="J834" s="13" t="s">
        <v>18</v>
      </c>
      <c r="K834" s="16"/>
    </row>
    <row r="835" spans="1:11" ht="57.6">
      <c r="A835" s="17">
        <f>_xlfn.AGGREGATE(3,1,$B$6:B833)</f>
        <v>828</v>
      </c>
      <c r="B835" s="18" t="s">
        <v>1180</v>
      </c>
      <c r="C835" s="18" t="s">
        <v>1183</v>
      </c>
      <c r="D835" s="21" t="s">
        <v>1184</v>
      </c>
      <c r="E835" s="18" t="s">
        <v>15</v>
      </c>
      <c r="F835" s="20">
        <v>45945</v>
      </c>
      <c r="G835" s="18"/>
      <c r="H835" s="20"/>
      <c r="I835" s="18" t="s">
        <v>26</v>
      </c>
      <c r="J835" s="18" t="s">
        <v>18</v>
      </c>
      <c r="K835" s="21"/>
    </row>
    <row r="836" spans="1:11" ht="28.9">
      <c r="A836" s="12">
        <f>_xlfn.AGGREGATE(3,1,$B$6:B834)</f>
        <v>829</v>
      </c>
      <c r="B836" s="13" t="s">
        <v>1180</v>
      </c>
      <c r="C836" s="13" t="s">
        <v>1051</v>
      </c>
      <c r="D836" s="16" t="s">
        <v>1185</v>
      </c>
      <c r="E836" s="13" t="s">
        <v>15</v>
      </c>
      <c r="F836" s="15">
        <v>45945</v>
      </c>
      <c r="G836" s="13" t="s">
        <v>16</v>
      </c>
      <c r="H836" s="15"/>
      <c r="I836" s="13" t="s">
        <v>304</v>
      </c>
      <c r="J836" s="13" t="s">
        <v>305</v>
      </c>
      <c r="K836" s="16"/>
    </row>
    <row r="837" spans="1:11" ht="28.9">
      <c r="A837" s="17">
        <f>_xlfn.AGGREGATE(3,1,$B$6:B835)</f>
        <v>830</v>
      </c>
      <c r="B837" s="18" t="s">
        <v>1180</v>
      </c>
      <c r="C837" s="18" t="s">
        <v>1183</v>
      </c>
      <c r="D837" s="21" t="s">
        <v>1186</v>
      </c>
      <c r="E837" s="18" t="s">
        <v>15</v>
      </c>
      <c r="F837" s="20">
        <v>45945</v>
      </c>
      <c r="G837" s="18" t="s">
        <v>16</v>
      </c>
      <c r="H837" s="20"/>
      <c r="I837" s="18" t="s">
        <v>304</v>
      </c>
      <c r="J837" s="18" t="s">
        <v>18</v>
      </c>
      <c r="K837" s="21"/>
    </row>
    <row r="838" spans="1:11" ht="72">
      <c r="A838" s="12">
        <f>_xlfn.AGGREGATE(3,1,$B$6:B836)</f>
        <v>831</v>
      </c>
      <c r="B838" s="13" t="s">
        <v>1180</v>
      </c>
      <c r="C838" s="13" t="s">
        <v>1051</v>
      </c>
      <c r="D838" s="16" t="s">
        <v>1187</v>
      </c>
      <c r="E838" s="13" t="s">
        <v>15</v>
      </c>
      <c r="F838" s="15">
        <v>45945</v>
      </c>
      <c r="G838" s="13" t="s">
        <v>77</v>
      </c>
      <c r="H838" s="15"/>
      <c r="I838" s="13" t="s">
        <v>304</v>
      </c>
      <c r="J838" s="13" t="s">
        <v>305</v>
      </c>
      <c r="K838" s="16"/>
    </row>
    <row r="839" spans="1:11" ht="43.15">
      <c r="A839" s="17">
        <f>_xlfn.AGGREGATE(3,1,$B$6:B837)</f>
        <v>832</v>
      </c>
      <c r="B839" s="18" t="s">
        <v>1188</v>
      </c>
      <c r="C839" s="18" t="s">
        <v>1051</v>
      </c>
      <c r="D839" s="21" t="s">
        <v>1189</v>
      </c>
      <c r="E839" s="18" t="s">
        <v>1190</v>
      </c>
      <c r="F839" s="20">
        <v>45953</v>
      </c>
      <c r="G839" s="18" t="s">
        <v>16</v>
      </c>
      <c r="H839" s="20"/>
      <c r="I839" s="18" t="s">
        <v>304</v>
      </c>
      <c r="J839" s="18" t="s">
        <v>305</v>
      </c>
      <c r="K839" s="21"/>
    </row>
    <row r="840" spans="1:11" ht="57.6">
      <c r="A840" s="12">
        <f>_xlfn.AGGREGATE(3,1,$B$6:B838)</f>
        <v>833</v>
      </c>
      <c r="B840" s="13" t="s">
        <v>1188</v>
      </c>
      <c r="C840" s="13" t="s">
        <v>1051</v>
      </c>
      <c r="D840" s="16" t="s">
        <v>1191</v>
      </c>
      <c r="E840" s="13" t="s">
        <v>1190</v>
      </c>
      <c r="F840" s="15">
        <v>45953</v>
      </c>
      <c r="G840" s="13" t="s">
        <v>16</v>
      </c>
      <c r="H840" s="15"/>
      <c r="I840" s="13" t="s">
        <v>304</v>
      </c>
      <c r="J840" s="13" t="s">
        <v>305</v>
      </c>
      <c r="K840" s="16"/>
    </row>
    <row r="841" spans="1:11" ht="28.9">
      <c r="A841" s="17">
        <f>_xlfn.AGGREGATE(3,1,$B$6:B839)</f>
        <v>834</v>
      </c>
      <c r="B841" s="18" t="s">
        <v>1188</v>
      </c>
      <c r="C841" s="18" t="s">
        <v>1183</v>
      </c>
      <c r="D841" s="21" t="s">
        <v>1192</v>
      </c>
      <c r="E841" s="18" t="s">
        <v>1190</v>
      </c>
      <c r="F841" s="20">
        <v>45953</v>
      </c>
      <c r="G841" s="18" t="s">
        <v>20</v>
      </c>
      <c r="H841" s="20"/>
      <c r="I841" s="18" t="s">
        <v>304</v>
      </c>
      <c r="J841" s="18" t="s">
        <v>305</v>
      </c>
      <c r="K841" s="21"/>
    </row>
    <row r="842" spans="1:11" ht="43.15">
      <c r="A842" s="12">
        <f>_xlfn.AGGREGATE(3,1,$B$6:B840)</f>
        <v>835</v>
      </c>
      <c r="B842" s="13" t="s">
        <v>1193</v>
      </c>
      <c r="C842" s="13" t="s">
        <v>1194</v>
      </c>
      <c r="D842" s="16" t="s">
        <v>1195</v>
      </c>
      <c r="E842" s="13" t="s">
        <v>1092</v>
      </c>
      <c r="F842" s="15">
        <v>45953</v>
      </c>
      <c r="G842" s="13"/>
      <c r="H842" s="15"/>
      <c r="I842" s="13" t="s">
        <v>17</v>
      </c>
      <c r="J842" s="13" t="s">
        <v>18</v>
      </c>
      <c r="K842" s="16"/>
    </row>
    <row r="843" spans="1:11" ht="15">
      <c r="A843" s="17">
        <f>_xlfn.AGGREGATE(3,1,$B$6:B841)</f>
        <v>836</v>
      </c>
      <c r="B843" s="18" t="s">
        <v>1193</v>
      </c>
      <c r="C843" s="18" t="s">
        <v>107</v>
      </c>
      <c r="D843" s="21" t="s">
        <v>1196</v>
      </c>
      <c r="E843" s="18" t="s">
        <v>1092</v>
      </c>
      <c r="F843" s="20">
        <v>45953</v>
      </c>
      <c r="G843" s="18" t="s">
        <v>16</v>
      </c>
      <c r="H843" s="20"/>
      <c r="I843" s="18" t="s">
        <v>304</v>
      </c>
      <c r="J843" s="18" t="s">
        <v>18</v>
      </c>
      <c r="K843" s="21"/>
    </row>
    <row r="844" spans="1:11" ht="30.75">
      <c r="A844" s="12">
        <f>_xlfn.AGGREGATE(3,1,$B$6:B842)</f>
        <v>837</v>
      </c>
      <c r="B844" s="13" t="s">
        <v>1193</v>
      </c>
      <c r="C844" s="13" t="s">
        <v>1183</v>
      </c>
      <c r="D844" s="16" t="s">
        <v>1197</v>
      </c>
      <c r="E844" s="13" t="s">
        <v>1092</v>
      </c>
      <c r="F844" s="15">
        <v>45953</v>
      </c>
      <c r="G844" s="13" t="s">
        <v>16</v>
      </c>
      <c r="H844" s="15"/>
      <c r="I844" s="13" t="s">
        <v>304</v>
      </c>
      <c r="J844" s="13" t="s">
        <v>18</v>
      </c>
      <c r="K844" s="16"/>
    </row>
    <row r="845" spans="1:11" ht="28.9">
      <c r="A845" s="17">
        <f>_xlfn.AGGREGATE(3,1,$B$6:B843)</f>
        <v>838</v>
      </c>
      <c r="B845" s="18" t="s">
        <v>1193</v>
      </c>
      <c r="C845" s="18" t="s">
        <v>1051</v>
      </c>
      <c r="D845" s="21" t="s">
        <v>1198</v>
      </c>
      <c r="E845" s="18" t="s">
        <v>1092</v>
      </c>
      <c r="F845" s="20">
        <v>45953</v>
      </c>
      <c r="G845" s="18" t="s">
        <v>20</v>
      </c>
      <c r="H845" s="20"/>
      <c r="I845" s="18" t="s">
        <v>304</v>
      </c>
      <c r="J845" s="18" t="s">
        <v>18</v>
      </c>
      <c r="K845" s="21"/>
    </row>
    <row r="846" spans="1:11" ht="43.15">
      <c r="A846" s="12">
        <f>_xlfn.AGGREGATE(3,1,$B$6:B844)</f>
        <v>839</v>
      </c>
      <c r="B846" s="13" t="s">
        <v>1199</v>
      </c>
      <c r="C846" s="13" t="s">
        <v>1200</v>
      </c>
      <c r="D846" s="16" t="s">
        <v>1201</v>
      </c>
      <c r="E846" s="13" t="s">
        <v>1087</v>
      </c>
      <c r="F846" s="15">
        <v>45952</v>
      </c>
      <c r="G846" s="13" t="s">
        <v>77</v>
      </c>
      <c r="H846" s="15"/>
      <c r="I846" s="13" t="s">
        <v>684</v>
      </c>
      <c r="J846" s="13" t="s">
        <v>305</v>
      </c>
      <c r="K846" s="16"/>
    </row>
    <row r="847" spans="1:11" ht="28.9">
      <c r="A847" s="17">
        <f>_xlfn.AGGREGATE(3,1,$B$6:B845)</f>
        <v>840</v>
      </c>
      <c r="B847" s="18" t="s">
        <v>1199</v>
      </c>
      <c r="C847" s="18" t="s">
        <v>1051</v>
      </c>
      <c r="D847" s="21" t="s">
        <v>1202</v>
      </c>
      <c r="E847" s="18" t="s">
        <v>1087</v>
      </c>
      <c r="F847" s="20">
        <v>45952</v>
      </c>
      <c r="G847" s="18" t="s">
        <v>77</v>
      </c>
      <c r="H847" s="20"/>
      <c r="I847" s="18" t="s">
        <v>304</v>
      </c>
      <c r="J847" s="18" t="s">
        <v>305</v>
      </c>
      <c r="K847" s="21"/>
    </row>
    <row r="848" spans="1:11" ht="28.9">
      <c r="A848" s="12">
        <f>_xlfn.AGGREGATE(3,1,$B$6:B846)</f>
        <v>841</v>
      </c>
      <c r="B848" s="13" t="s">
        <v>1199</v>
      </c>
      <c r="C848" s="13" t="s">
        <v>107</v>
      </c>
      <c r="D848" s="16" t="s">
        <v>1203</v>
      </c>
      <c r="E848" s="13" t="s">
        <v>1087</v>
      </c>
      <c r="F848" s="15">
        <v>45952</v>
      </c>
      <c r="G848" s="13" t="s">
        <v>16</v>
      </c>
      <c r="H848" s="15"/>
      <c r="I848" s="13" t="s">
        <v>304</v>
      </c>
      <c r="J848" s="13" t="s">
        <v>18</v>
      </c>
      <c r="K848" s="16"/>
    </row>
    <row r="849" spans="1:11" ht="28.9">
      <c r="A849" s="17">
        <f>_xlfn.AGGREGATE(3,1,$B$6:B847)</f>
        <v>842</v>
      </c>
      <c r="B849" s="18" t="s">
        <v>1199</v>
      </c>
      <c r="C849" s="18" t="s">
        <v>107</v>
      </c>
      <c r="D849" s="21" t="s">
        <v>1204</v>
      </c>
      <c r="E849" s="18" t="s">
        <v>1087</v>
      </c>
      <c r="F849" s="20">
        <v>45952</v>
      </c>
      <c r="G849" s="18" t="s">
        <v>16</v>
      </c>
      <c r="H849" s="20"/>
      <c r="I849" s="18" t="s">
        <v>304</v>
      </c>
      <c r="J849" s="18" t="s">
        <v>305</v>
      </c>
      <c r="K849" s="21"/>
    </row>
    <row r="850" spans="1:11" ht="28.9">
      <c r="A850" s="12">
        <f>_xlfn.AGGREGATE(3,1,$B$6:B848)</f>
        <v>843</v>
      </c>
      <c r="B850" s="13" t="s">
        <v>1199</v>
      </c>
      <c r="C850" s="13" t="s">
        <v>1051</v>
      </c>
      <c r="D850" s="16" t="s">
        <v>1205</v>
      </c>
      <c r="E850" s="13" t="s">
        <v>1087</v>
      </c>
      <c r="F850" s="15">
        <v>45952</v>
      </c>
      <c r="G850" s="13" t="s">
        <v>77</v>
      </c>
      <c r="H850" s="15"/>
      <c r="I850" s="13" t="s">
        <v>304</v>
      </c>
      <c r="J850" s="13" t="s">
        <v>305</v>
      </c>
      <c r="K850" s="16"/>
    </row>
    <row r="851" spans="1:11" ht="43.15">
      <c r="A851" s="17">
        <f>_xlfn.AGGREGATE(3,1,$B$6:B849)</f>
        <v>844</v>
      </c>
      <c r="B851" s="18" t="s">
        <v>1206</v>
      </c>
      <c r="C851" s="18" t="s">
        <v>1051</v>
      </c>
      <c r="D851" s="21" t="s">
        <v>1207</v>
      </c>
      <c r="E851" s="18" t="s">
        <v>388</v>
      </c>
      <c r="F851" s="20">
        <v>45952</v>
      </c>
      <c r="G851" s="18" t="s">
        <v>16</v>
      </c>
      <c r="H851" s="20"/>
      <c r="I851" s="18" t="s">
        <v>304</v>
      </c>
      <c r="J851" s="18" t="s">
        <v>305</v>
      </c>
      <c r="K851" s="21"/>
    </row>
    <row r="852" spans="1:11" ht="43.15">
      <c r="A852" s="12">
        <f>_xlfn.AGGREGATE(3,1,$B$6:B850)</f>
        <v>845</v>
      </c>
      <c r="B852" s="13" t="s">
        <v>1206</v>
      </c>
      <c r="C852" s="13" t="s">
        <v>1051</v>
      </c>
      <c r="D852" s="16" t="s">
        <v>1208</v>
      </c>
      <c r="E852" s="13" t="s">
        <v>388</v>
      </c>
      <c r="F852" s="15">
        <v>45952</v>
      </c>
      <c r="G852" s="13" t="s">
        <v>20</v>
      </c>
      <c r="H852" s="15"/>
      <c r="I852" s="13" t="s">
        <v>304</v>
      </c>
      <c r="J852" s="13" t="s">
        <v>305</v>
      </c>
      <c r="K852" s="16"/>
    </row>
    <row r="853" spans="1:11" ht="28.9">
      <c r="A853" s="12">
        <f>_xlfn.AGGREGATE(3,1,$B$6:B852)</f>
        <v>847</v>
      </c>
      <c r="B853" s="13" t="s">
        <v>1206</v>
      </c>
      <c r="C853" s="13" t="s">
        <v>107</v>
      </c>
      <c r="D853" s="16" t="s">
        <v>1203</v>
      </c>
      <c r="E853" s="13" t="s">
        <v>388</v>
      </c>
      <c r="F853" s="15">
        <v>45952</v>
      </c>
      <c r="G853" s="13" t="s">
        <v>16</v>
      </c>
      <c r="H853" s="15"/>
      <c r="I853" s="13" t="s">
        <v>304</v>
      </c>
      <c r="J853" s="13" t="s">
        <v>305</v>
      </c>
      <c r="K853" s="16"/>
    </row>
    <row r="854" spans="1:11">
      <c r="A854" s="17">
        <f>_xlfn.AGGREGATE(3,1,$B$6:B852)</f>
        <v>847</v>
      </c>
      <c r="B854" s="18" t="s">
        <v>1209</v>
      </c>
      <c r="C854" s="18" t="s">
        <v>1210</v>
      </c>
      <c r="D854" s="21" t="s">
        <v>1211</v>
      </c>
      <c r="E854" s="18" t="s">
        <v>183</v>
      </c>
      <c r="F854" s="20">
        <v>45954</v>
      </c>
      <c r="G854" s="18" t="s">
        <v>16</v>
      </c>
      <c r="H854" s="20"/>
      <c r="I854" s="18" t="s">
        <v>684</v>
      </c>
      <c r="J854" s="18" t="s">
        <v>305</v>
      </c>
      <c r="K854" s="21"/>
    </row>
    <row r="855" spans="1:11" ht="28.9">
      <c r="A855" s="12">
        <f>_xlfn.AGGREGATE(3,1,$B$6:B853)</f>
        <v>848</v>
      </c>
      <c r="B855" s="13" t="s">
        <v>1209</v>
      </c>
      <c r="C855" s="13" t="s">
        <v>886</v>
      </c>
      <c r="D855" s="16" t="s">
        <v>1212</v>
      </c>
      <c r="E855" s="13" t="s">
        <v>183</v>
      </c>
      <c r="F855" s="15">
        <v>45954</v>
      </c>
      <c r="G855" s="13" t="s">
        <v>16</v>
      </c>
      <c r="H855" s="15"/>
      <c r="I855" s="13" t="s">
        <v>684</v>
      </c>
      <c r="J855" s="13" t="s">
        <v>18</v>
      </c>
      <c r="K855" s="16"/>
    </row>
    <row r="856" spans="1:11" ht="28.9">
      <c r="A856" s="17">
        <f>_xlfn.AGGREGATE(3,1,$B$6:B854)</f>
        <v>849</v>
      </c>
      <c r="B856" s="18" t="s">
        <v>1209</v>
      </c>
      <c r="C856" s="18" t="s">
        <v>1213</v>
      </c>
      <c r="D856" s="21" t="s">
        <v>1212</v>
      </c>
      <c r="E856" s="18" t="s">
        <v>183</v>
      </c>
      <c r="F856" s="20">
        <v>45954</v>
      </c>
      <c r="G856" s="18" t="s">
        <v>16</v>
      </c>
      <c r="H856" s="20"/>
      <c r="I856" s="18" t="s">
        <v>684</v>
      </c>
      <c r="J856" s="18" t="s">
        <v>305</v>
      </c>
      <c r="K856" s="21"/>
    </row>
    <row r="857" spans="1:11" ht="43.15">
      <c r="A857" s="12">
        <f>_xlfn.AGGREGATE(3,1,$B$6:B855)</f>
        <v>850</v>
      </c>
      <c r="B857" s="13" t="s">
        <v>1209</v>
      </c>
      <c r="C857" s="13" t="s">
        <v>1213</v>
      </c>
      <c r="D857" s="16" t="s">
        <v>1214</v>
      </c>
      <c r="E857" s="13" t="s">
        <v>183</v>
      </c>
      <c r="F857" s="15">
        <v>45954</v>
      </c>
      <c r="G857" s="13" t="s">
        <v>77</v>
      </c>
      <c r="H857" s="15"/>
      <c r="I857" s="13" t="s">
        <v>684</v>
      </c>
      <c r="J857" s="13" t="s">
        <v>305</v>
      </c>
      <c r="K857" s="16"/>
    </row>
    <row r="858" spans="1:11" ht="28.9">
      <c r="A858" s="17">
        <f>_xlfn.AGGREGATE(3,1,$B$6:B856)</f>
        <v>851</v>
      </c>
      <c r="B858" s="18" t="s">
        <v>1209</v>
      </c>
      <c r="C858" s="18" t="s">
        <v>47</v>
      </c>
      <c r="D858" s="21" t="s">
        <v>1215</v>
      </c>
      <c r="E858" s="18" t="s">
        <v>183</v>
      </c>
      <c r="F858" s="20">
        <v>45954</v>
      </c>
      <c r="G858" s="18" t="s">
        <v>16</v>
      </c>
      <c r="H858" s="20"/>
      <c r="I858" s="18" t="s">
        <v>684</v>
      </c>
      <c r="J858" s="18" t="s">
        <v>305</v>
      </c>
      <c r="K858" s="21"/>
    </row>
    <row r="859" spans="1:11">
      <c r="A859" s="12">
        <f>_xlfn.AGGREGATE(3,1,$B$6:B857)</f>
        <v>852</v>
      </c>
      <c r="B859" s="13" t="s">
        <v>1216</v>
      </c>
      <c r="C859" s="13" t="s">
        <v>47</v>
      </c>
      <c r="D859" s="16" t="s">
        <v>1217</v>
      </c>
      <c r="E859" s="13" t="s">
        <v>401</v>
      </c>
      <c r="F859" s="15">
        <v>45957</v>
      </c>
      <c r="G859" s="13" t="s">
        <v>20</v>
      </c>
      <c r="H859" s="15"/>
      <c r="I859" s="13" t="s">
        <v>304</v>
      </c>
      <c r="J859" s="13" t="s">
        <v>305</v>
      </c>
      <c r="K859" s="16"/>
    </row>
    <row r="860" spans="1:11" ht="28.9">
      <c r="A860" s="17">
        <f>_xlfn.AGGREGATE(3,1,$B$6:B858)</f>
        <v>853</v>
      </c>
      <c r="B860" s="18" t="s">
        <v>1216</v>
      </c>
      <c r="C860" s="18" t="s">
        <v>1218</v>
      </c>
      <c r="D860" s="21" t="s">
        <v>1219</v>
      </c>
      <c r="E860" s="18" t="s">
        <v>401</v>
      </c>
      <c r="F860" s="20">
        <v>45957</v>
      </c>
      <c r="G860" s="18" t="s">
        <v>20</v>
      </c>
      <c r="H860" s="20"/>
      <c r="I860" s="18" t="s">
        <v>304</v>
      </c>
      <c r="J860" s="18" t="s">
        <v>305</v>
      </c>
      <c r="K860" s="21"/>
    </row>
    <row r="861" spans="1:11" ht="28.9">
      <c r="A861" s="12">
        <f>_xlfn.AGGREGATE(3,1,$B$6:B859)</f>
        <v>854</v>
      </c>
      <c r="B861" s="13" t="s">
        <v>1216</v>
      </c>
      <c r="C861" s="13" t="s">
        <v>47</v>
      </c>
      <c r="D861" s="16" t="s">
        <v>1220</v>
      </c>
      <c r="E861" s="13" t="s">
        <v>401</v>
      </c>
      <c r="F861" s="15">
        <v>45957</v>
      </c>
      <c r="G861" s="13" t="s">
        <v>20</v>
      </c>
      <c r="H861" s="15"/>
      <c r="I861" s="13" t="s">
        <v>304</v>
      </c>
      <c r="J861" s="13" t="s">
        <v>305</v>
      </c>
      <c r="K861" s="16"/>
    </row>
    <row r="862" spans="1:11">
      <c r="A862" s="17">
        <f>_xlfn.AGGREGATE(3,1,$B$6:B860)</f>
        <v>855</v>
      </c>
      <c r="B862" s="18" t="s">
        <v>1216</v>
      </c>
      <c r="C862" s="18" t="s">
        <v>47</v>
      </c>
      <c r="D862" s="21" t="s">
        <v>1221</v>
      </c>
      <c r="E862" s="18" t="s">
        <v>401</v>
      </c>
      <c r="F862" s="20">
        <v>45957</v>
      </c>
      <c r="G862" s="18" t="s">
        <v>20</v>
      </c>
      <c r="H862" s="20"/>
      <c r="I862" s="18" t="s">
        <v>304</v>
      </c>
      <c r="J862" s="18" t="s">
        <v>305</v>
      </c>
      <c r="K862" s="21"/>
    </row>
    <row r="863" spans="1:11" ht="43.15">
      <c r="A863" s="17">
        <f>_xlfn.AGGREGATE(3,1,$B$6:B862)</f>
        <v>857</v>
      </c>
      <c r="B863" s="18" t="s">
        <v>1222</v>
      </c>
      <c r="C863" s="18" t="s">
        <v>1223</v>
      </c>
      <c r="D863" s="21" t="s">
        <v>1224</v>
      </c>
      <c r="E863" s="18" t="s">
        <v>1225</v>
      </c>
      <c r="F863" s="20">
        <v>45957</v>
      </c>
      <c r="G863" s="18" t="s">
        <v>77</v>
      </c>
      <c r="H863" s="20"/>
      <c r="I863" s="18" t="s">
        <v>684</v>
      </c>
      <c r="J863" s="18" t="s">
        <v>305</v>
      </c>
      <c r="K863" s="21"/>
    </row>
    <row r="864" spans="1:11" ht="28.9">
      <c r="A864" s="12">
        <f>_xlfn.AGGREGATE(3,1,$B$6:B862)</f>
        <v>857</v>
      </c>
      <c r="B864" s="13" t="s">
        <v>1222</v>
      </c>
      <c r="C864" s="13" t="s">
        <v>1223</v>
      </c>
      <c r="D864" s="16" t="s">
        <v>1226</v>
      </c>
      <c r="E864" s="13" t="s">
        <v>1225</v>
      </c>
      <c r="F864" s="15">
        <v>45957</v>
      </c>
      <c r="G864" s="13" t="s">
        <v>20</v>
      </c>
      <c r="H864" s="15"/>
      <c r="I864" s="13" t="s">
        <v>684</v>
      </c>
      <c r="J864" s="13" t="s">
        <v>305</v>
      </c>
      <c r="K864" s="16"/>
    </row>
    <row r="865" spans="1:11" ht="28.9">
      <c r="A865" s="17">
        <f>_xlfn.AGGREGATE(3,1,$B$6:B863)</f>
        <v>858</v>
      </c>
      <c r="B865" s="18" t="s">
        <v>1222</v>
      </c>
      <c r="C865" s="18" t="s">
        <v>47</v>
      </c>
      <c r="D865" s="21" t="s">
        <v>1220</v>
      </c>
      <c r="E865" s="18" t="s">
        <v>1225</v>
      </c>
      <c r="F865" s="20">
        <v>45957</v>
      </c>
      <c r="G865" s="18" t="s">
        <v>16</v>
      </c>
      <c r="H865" s="20"/>
      <c r="I865" s="18" t="s">
        <v>304</v>
      </c>
      <c r="J865" s="18" t="s">
        <v>305</v>
      </c>
      <c r="K865" s="21"/>
    </row>
    <row r="866" spans="1:11">
      <c r="A866" s="12">
        <f>_xlfn.AGGREGATE(3,1,$B$6:B864)</f>
        <v>859</v>
      </c>
      <c r="B866" s="13" t="s">
        <v>1222</v>
      </c>
      <c r="C866" s="13" t="s">
        <v>47</v>
      </c>
      <c r="D866" s="16" t="s">
        <v>1221</v>
      </c>
      <c r="E866" s="13" t="s">
        <v>1225</v>
      </c>
      <c r="F866" s="15">
        <v>45957</v>
      </c>
      <c r="G866" s="13" t="s">
        <v>16</v>
      </c>
      <c r="H866" s="15"/>
      <c r="I866" s="13" t="s">
        <v>304</v>
      </c>
      <c r="J866" s="13" t="s">
        <v>305</v>
      </c>
      <c r="K866" s="16"/>
    </row>
    <row r="867" spans="1:11" ht="28.9">
      <c r="A867" s="17">
        <f>_xlfn.AGGREGATE(3,1,$B$6:B865)</f>
        <v>860</v>
      </c>
      <c r="B867" s="18" t="s">
        <v>1222</v>
      </c>
      <c r="C867" s="18" t="s">
        <v>47</v>
      </c>
      <c r="D867" s="21" t="s">
        <v>1227</v>
      </c>
      <c r="E867" s="18" t="s">
        <v>1225</v>
      </c>
      <c r="F867" s="20">
        <v>45957</v>
      </c>
      <c r="G867" s="18" t="s">
        <v>16</v>
      </c>
      <c r="H867" s="20"/>
      <c r="I867" s="18" t="s">
        <v>304</v>
      </c>
      <c r="J867" s="18" t="s">
        <v>18</v>
      </c>
      <c r="K867" s="21"/>
    </row>
    <row r="868" spans="1:11" ht="57.6">
      <c r="A868" s="12">
        <f>_xlfn.AGGREGATE(3,1,$B$6:B866)</f>
        <v>861</v>
      </c>
      <c r="B868" s="13" t="s">
        <v>1228</v>
      </c>
      <c r="C868" s="13" t="s">
        <v>47</v>
      </c>
      <c r="D868" s="16" t="s">
        <v>1229</v>
      </c>
      <c r="E868" s="13" t="s">
        <v>36</v>
      </c>
      <c r="F868" s="15">
        <v>45958</v>
      </c>
      <c r="G868" s="13" t="s">
        <v>16</v>
      </c>
      <c r="H868" s="15"/>
      <c r="I868" s="13" t="s">
        <v>304</v>
      </c>
      <c r="J868" s="13" t="s">
        <v>18</v>
      </c>
      <c r="K868" s="16"/>
    </row>
    <row r="869" spans="1:11" ht="43.15">
      <c r="A869" s="17">
        <f>_xlfn.AGGREGATE(3,1,$B$6:B867)</f>
        <v>862</v>
      </c>
      <c r="B869" s="18" t="s">
        <v>1228</v>
      </c>
      <c r="C869" s="18" t="s">
        <v>1223</v>
      </c>
      <c r="D869" s="21" t="s">
        <v>1230</v>
      </c>
      <c r="E869" s="18" t="s">
        <v>36</v>
      </c>
      <c r="F869" s="20">
        <v>45958</v>
      </c>
      <c r="G869" s="18" t="s">
        <v>16</v>
      </c>
      <c r="H869" s="20"/>
      <c r="I869" s="18" t="s">
        <v>684</v>
      </c>
      <c r="J869" s="18" t="s">
        <v>305</v>
      </c>
      <c r="K869" s="21"/>
    </row>
    <row r="870" spans="1:11" ht="43.15">
      <c r="A870" s="12">
        <f>_xlfn.AGGREGATE(3,1,$B$6:B868)</f>
        <v>863</v>
      </c>
      <c r="B870" s="13" t="s">
        <v>1228</v>
      </c>
      <c r="C870" s="13" t="s">
        <v>1231</v>
      </c>
      <c r="D870" s="16" t="s">
        <v>1232</v>
      </c>
      <c r="E870" s="13" t="s">
        <v>36</v>
      </c>
      <c r="F870" s="15">
        <v>45958</v>
      </c>
      <c r="G870" s="13" t="s">
        <v>16</v>
      </c>
      <c r="H870" s="15"/>
      <c r="I870" s="13" t="s">
        <v>684</v>
      </c>
      <c r="J870" s="13" t="s">
        <v>305</v>
      </c>
      <c r="K870" s="16"/>
    </row>
    <row r="871" spans="1:11" ht="28.9">
      <c r="A871" s="17">
        <f>_xlfn.AGGREGATE(3,1,$B$6:B869)</f>
        <v>864</v>
      </c>
      <c r="B871" s="18" t="s">
        <v>1228</v>
      </c>
      <c r="C871" s="18" t="s">
        <v>107</v>
      </c>
      <c r="D871" s="21" t="s">
        <v>1204</v>
      </c>
      <c r="E871" s="18" t="s">
        <v>36</v>
      </c>
      <c r="F871" s="20">
        <v>45958</v>
      </c>
      <c r="G871" s="18" t="s">
        <v>16</v>
      </c>
      <c r="H871" s="20"/>
      <c r="I871" s="18" t="s">
        <v>304</v>
      </c>
      <c r="J871" s="18" t="s">
        <v>305</v>
      </c>
      <c r="K871" s="21"/>
    </row>
    <row r="872" spans="1:11" ht="28.9">
      <c r="A872" s="12">
        <f>_xlfn.AGGREGATE(3,1,$B$6:B870)</f>
        <v>865</v>
      </c>
      <c r="B872" s="13" t="s">
        <v>1228</v>
      </c>
      <c r="C872" s="13" t="s">
        <v>107</v>
      </c>
      <c r="D872" s="16" t="s">
        <v>1233</v>
      </c>
      <c r="E872" s="13" t="s">
        <v>36</v>
      </c>
      <c r="F872" s="15">
        <v>45958</v>
      </c>
      <c r="G872" s="13" t="s">
        <v>20</v>
      </c>
      <c r="H872" s="15"/>
      <c r="I872" s="13" t="s">
        <v>304</v>
      </c>
      <c r="J872" s="13" t="s">
        <v>305</v>
      </c>
      <c r="K872" s="16"/>
    </row>
    <row r="873" spans="1:11" ht="28.9">
      <c r="A873" s="17">
        <f>_xlfn.AGGREGATE(3,1,$B$6:B871)</f>
        <v>866</v>
      </c>
      <c r="B873" s="18" t="s">
        <v>1228</v>
      </c>
      <c r="C873" s="18" t="s">
        <v>1231</v>
      </c>
      <c r="D873" s="21" t="s">
        <v>1004</v>
      </c>
      <c r="E873" s="18" t="s">
        <v>970</v>
      </c>
      <c r="F873" s="20">
        <v>45958</v>
      </c>
      <c r="G873" s="18" t="s">
        <v>16</v>
      </c>
      <c r="H873" s="20"/>
      <c r="I873" s="18" t="s">
        <v>684</v>
      </c>
      <c r="J873" s="18" t="s">
        <v>305</v>
      </c>
      <c r="K873" s="21"/>
    </row>
    <row r="874" spans="1:11" ht="28.9">
      <c r="A874" s="12">
        <f>_xlfn.AGGREGATE(3,1,$B$6:B872)</f>
        <v>867</v>
      </c>
      <c r="B874" s="13" t="s">
        <v>1228</v>
      </c>
      <c r="C874" s="13" t="s">
        <v>47</v>
      </c>
      <c r="D874" s="16" t="s">
        <v>1234</v>
      </c>
      <c r="E874" s="13" t="s">
        <v>970</v>
      </c>
      <c r="F874" s="15">
        <v>45958</v>
      </c>
      <c r="G874" s="13" t="s">
        <v>20</v>
      </c>
      <c r="H874" s="15"/>
      <c r="I874" s="13" t="s">
        <v>304</v>
      </c>
      <c r="J874" s="13" t="s">
        <v>18</v>
      </c>
      <c r="K874" s="16"/>
    </row>
    <row r="875" spans="1:11" ht="28.9">
      <c r="A875" s="17">
        <f>_xlfn.AGGREGATE(3,1,$B$6:B873)</f>
        <v>868</v>
      </c>
      <c r="B875" s="18" t="s">
        <v>1228</v>
      </c>
      <c r="C875" s="18" t="s">
        <v>107</v>
      </c>
      <c r="D875" s="21" t="s">
        <v>1204</v>
      </c>
      <c r="E875" s="18" t="s">
        <v>970</v>
      </c>
      <c r="F875" s="20">
        <v>45958</v>
      </c>
      <c r="G875" s="18" t="s">
        <v>16</v>
      </c>
      <c r="H875" s="20"/>
      <c r="I875" s="18" t="s">
        <v>304</v>
      </c>
      <c r="J875" s="18" t="s">
        <v>305</v>
      </c>
      <c r="K875" s="21"/>
    </row>
    <row r="876" spans="1:11" ht="28.9">
      <c r="A876" s="12">
        <f>_xlfn.AGGREGATE(3,1,$B$6:B874)</f>
        <v>869</v>
      </c>
      <c r="B876" s="13" t="s">
        <v>1228</v>
      </c>
      <c r="C876" s="13" t="s">
        <v>107</v>
      </c>
      <c r="D876" s="16" t="s">
        <v>1235</v>
      </c>
      <c r="E876" s="13" t="s">
        <v>970</v>
      </c>
      <c r="F876" s="15">
        <v>45958</v>
      </c>
      <c r="G876" s="13" t="s">
        <v>16</v>
      </c>
      <c r="H876" s="15"/>
      <c r="I876" s="13" t="s">
        <v>304</v>
      </c>
      <c r="J876" s="13" t="s">
        <v>305</v>
      </c>
      <c r="K876" s="16"/>
    </row>
    <row r="877" spans="1:11" ht="28.9">
      <c r="A877" s="17">
        <f>_xlfn.AGGREGATE(3,1,$B$6:B875)</f>
        <v>870</v>
      </c>
      <c r="B877" s="18" t="s">
        <v>1228</v>
      </c>
      <c r="C877" s="18" t="s">
        <v>107</v>
      </c>
      <c r="D877" s="21" t="s">
        <v>1204</v>
      </c>
      <c r="E877" s="18" t="s">
        <v>1236</v>
      </c>
      <c r="F877" s="20">
        <v>45958</v>
      </c>
      <c r="G877" s="18" t="s">
        <v>16</v>
      </c>
      <c r="H877" s="20"/>
      <c r="I877" s="18" t="s">
        <v>304</v>
      </c>
      <c r="J877" s="18" t="s">
        <v>305</v>
      </c>
      <c r="K877" s="21"/>
    </row>
    <row r="878" spans="1:11" ht="43.15">
      <c r="A878" s="12">
        <f>_xlfn.AGGREGATE(3,1,$B$6:B876)</f>
        <v>871</v>
      </c>
      <c r="B878" s="13" t="s">
        <v>1228</v>
      </c>
      <c r="C878" s="13" t="s">
        <v>47</v>
      </c>
      <c r="D878" s="16" t="s">
        <v>1237</v>
      </c>
      <c r="E878" s="13" t="s">
        <v>1236</v>
      </c>
      <c r="F878" s="15">
        <v>45958</v>
      </c>
      <c r="G878" s="13" t="s">
        <v>20</v>
      </c>
      <c r="H878" s="15"/>
      <c r="I878" s="13" t="s">
        <v>304</v>
      </c>
      <c r="J878" s="13" t="s">
        <v>305</v>
      </c>
      <c r="K878" s="16"/>
    </row>
    <row r="879" spans="1:11" ht="28.9">
      <c r="A879" s="17">
        <f>_xlfn.AGGREGATE(3,1,$B$6:B877)</f>
        <v>872</v>
      </c>
      <c r="B879" s="18" t="s">
        <v>1228</v>
      </c>
      <c r="C879" s="18" t="s">
        <v>1017</v>
      </c>
      <c r="D879" s="21" t="s">
        <v>1238</v>
      </c>
      <c r="E879" s="18" t="s">
        <v>1239</v>
      </c>
      <c r="F879" s="20">
        <v>45958</v>
      </c>
      <c r="G879" s="18" t="s">
        <v>77</v>
      </c>
      <c r="H879" s="20"/>
      <c r="I879" s="18" t="s">
        <v>684</v>
      </c>
      <c r="J879" s="18" t="s">
        <v>305</v>
      </c>
      <c r="K879" s="21"/>
    </row>
    <row r="880" spans="1:11" ht="28.9">
      <c r="A880" s="12">
        <f>_xlfn.AGGREGATE(3,1,$B$6:B878)</f>
        <v>873</v>
      </c>
      <c r="B880" s="13" t="s">
        <v>1228</v>
      </c>
      <c r="C880" s="13" t="s">
        <v>47</v>
      </c>
      <c r="D880" s="16" t="s">
        <v>1240</v>
      </c>
      <c r="E880" s="13" t="s">
        <v>1239</v>
      </c>
      <c r="F880" s="15">
        <v>45958</v>
      </c>
      <c r="G880" s="13" t="s">
        <v>16</v>
      </c>
      <c r="H880" s="15"/>
      <c r="I880" s="13" t="s">
        <v>304</v>
      </c>
      <c r="J880" s="13" t="s">
        <v>305</v>
      </c>
      <c r="K880" s="16"/>
    </row>
    <row r="881" spans="1:11" ht="30.75">
      <c r="A881" s="17">
        <f>_xlfn.AGGREGATE(3,1,$B$6:B879)</f>
        <v>874</v>
      </c>
      <c r="B881" s="18" t="s">
        <v>1228</v>
      </c>
      <c r="C881" s="18" t="s">
        <v>107</v>
      </c>
      <c r="D881" s="21" t="s">
        <v>1204</v>
      </c>
      <c r="E881" s="18" t="s">
        <v>1239</v>
      </c>
      <c r="F881" s="20">
        <v>45958</v>
      </c>
      <c r="G881" s="18" t="s">
        <v>16</v>
      </c>
      <c r="H881" s="20"/>
      <c r="I881" s="18" t="s">
        <v>304</v>
      </c>
      <c r="J881" s="18" t="s">
        <v>18</v>
      </c>
      <c r="K881" s="21"/>
    </row>
    <row r="882" spans="1:11" ht="28.9">
      <c r="A882" s="12">
        <f>_xlfn.AGGREGATE(3,1,$B$6:B880)</f>
        <v>875</v>
      </c>
      <c r="B882" s="13" t="s">
        <v>1228</v>
      </c>
      <c r="C882" s="13" t="s">
        <v>47</v>
      </c>
      <c r="D882" s="16" t="s">
        <v>1241</v>
      </c>
      <c r="E882" s="13" t="s">
        <v>1239</v>
      </c>
      <c r="F882" s="15">
        <v>45958</v>
      </c>
      <c r="G882" s="13" t="s">
        <v>20</v>
      </c>
      <c r="H882" s="15"/>
      <c r="I882" s="13" t="s">
        <v>304</v>
      </c>
      <c r="J882" s="13" t="s">
        <v>305</v>
      </c>
      <c r="K882" s="16"/>
    </row>
    <row r="883" spans="1:11">
      <c r="A883" s="17">
        <f>_xlfn.AGGREGATE(3,1,$B$6:B881)</f>
        <v>876</v>
      </c>
      <c r="B883" s="18" t="s">
        <v>1228</v>
      </c>
      <c r="C883" s="18" t="s">
        <v>47</v>
      </c>
      <c r="D883" s="21" t="s">
        <v>1221</v>
      </c>
      <c r="E883" s="18" t="s">
        <v>1081</v>
      </c>
      <c r="F883" s="20">
        <v>45958</v>
      </c>
      <c r="G883" s="18" t="s">
        <v>20</v>
      </c>
      <c r="H883" s="20"/>
      <c r="I883" s="18" t="s">
        <v>304</v>
      </c>
      <c r="J883" s="18" t="s">
        <v>305</v>
      </c>
      <c r="K883" s="21"/>
    </row>
    <row r="884" spans="1:11" ht="28.9">
      <c r="A884" s="12">
        <f>_xlfn.AGGREGATE(3,1,$B$6:B882)</f>
        <v>877</v>
      </c>
      <c r="B884" s="13" t="s">
        <v>1228</v>
      </c>
      <c r="C884" s="13" t="s">
        <v>1017</v>
      </c>
      <c r="D884" s="16" t="s">
        <v>1242</v>
      </c>
      <c r="E884" s="13" t="s">
        <v>1081</v>
      </c>
      <c r="F884" s="15">
        <v>45958</v>
      </c>
      <c r="G884" s="13" t="s">
        <v>20</v>
      </c>
      <c r="H884" s="15"/>
      <c r="I884" s="13" t="s">
        <v>684</v>
      </c>
      <c r="J884" s="13" t="s">
        <v>305</v>
      </c>
      <c r="K884" s="16"/>
    </row>
    <row r="885" spans="1:11" ht="28.9">
      <c r="A885" s="17">
        <f>_xlfn.AGGREGATE(3,1,$B$6:B883)</f>
        <v>878</v>
      </c>
      <c r="B885" s="18" t="s">
        <v>1243</v>
      </c>
      <c r="C885" s="18" t="s">
        <v>47</v>
      </c>
      <c r="D885" s="21" t="s">
        <v>1244</v>
      </c>
      <c r="E885" s="18" t="s">
        <v>330</v>
      </c>
      <c r="F885" s="20">
        <v>45959</v>
      </c>
      <c r="G885" s="18" t="s">
        <v>20</v>
      </c>
      <c r="H885" s="20"/>
      <c r="I885" s="18" t="s">
        <v>304</v>
      </c>
      <c r="J885" s="18" t="s">
        <v>18</v>
      </c>
      <c r="K885" s="21"/>
    </row>
    <row r="886" spans="1:11" ht="43.15">
      <c r="A886" s="12">
        <f>_xlfn.AGGREGATE(3,1,$B$6:B884)</f>
        <v>879</v>
      </c>
      <c r="B886" s="13" t="s">
        <v>1243</v>
      </c>
      <c r="C886" s="13" t="s">
        <v>47</v>
      </c>
      <c r="D886" s="16" t="s">
        <v>1245</v>
      </c>
      <c r="E886" s="13" t="s">
        <v>330</v>
      </c>
      <c r="F886" s="15">
        <v>45959</v>
      </c>
      <c r="G886" s="13" t="s">
        <v>20</v>
      </c>
      <c r="H886" s="15"/>
      <c r="I886" s="13" t="s">
        <v>304</v>
      </c>
      <c r="J886" s="13" t="s">
        <v>18</v>
      </c>
      <c r="K886" s="16"/>
    </row>
    <row r="887" spans="1:11" ht="28.9">
      <c r="A887" s="17">
        <f>_xlfn.AGGREGATE(3,1,$B$6:B885)</f>
        <v>880</v>
      </c>
      <c r="B887" s="18" t="s">
        <v>1243</v>
      </c>
      <c r="C887" s="18" t="s">
        <v>47</v>
      </c>
      <c r="D887" s="21" t="s">
        <v>1246</v>
      </c>
      <c r="E887" s="18" t="s">
        <v>330</v>
      </c>
      <c r="F887" s="20">
        <v>45959</v>
      </c>
      <c r="G887" s="18" t="s">
        <v>20</v>
      </c>
      <c r="H887" s="20"/>
      <c r="I887" s="18" t="s">
        <v>304</v>
      </c>
      <c r="J887" s="18" t="s">
        <v>18</v>
      </c>
      <c r="K887" s="21"/>
    </row>
    <row r="888" spans="1:11" ht="28.9">
      <c r="A888" s="12">
        <f>_xlfn.AGGREGATE(3,1,$B$6:B886)</f>
        <v>881</v>
      </c>
      <c r="B888" s="13" t="s">
        <v>1243</v>
      </c>
      <c r="C888" s="13" t="s">
        <v>47</v>
      </c>
      <c r="D888" s="16" t="s">
        <v>1247</v>
      </c>
      <c r="E888" s="13" t="s">
        <v>393</v>
      </c>
      <c r="F888" s="15">
        <v>45959</v>
      </c>
      <c r="G888" s="13" t="s">
        <v>16</v>
      </c>
      <c r="H888" s="15"/>
      <c r="I888" s="13" t="s">
        <v>304</v>
      </c>
      <c r="J888" s="13" t="s">
        <v>305</v>
      </c>
      <c r="K888" s="16"/>
    </row>
    <row r="889" spans="1:11" ht="28.9">
      <c r="A889" s="17">
        <f>_xlfn.AGGREGATE(3,1,$B$6:B887)</f>
        <v>882</v>
      </c>
      <c r="B889" s="18" t="s">
        <v>1243</v>
      </c>
      <c r="C889" s="18" t="s">
        <v>47</v>
      </c>
      <c r="D889" s="21" t="s">
        <v>1248</v>
      </c>
      <c r="E889" s="18" t="s">
        <v>393</v>
      </c>
      <c r="F889" s="20">
        <v>45959</v>
      </c>
      <c r="G889" s="18" t="s">
        <v>16</v>
      </c>
      <c r="H889" s="20"/>
      <c r="I889" s="18" t="s">
        <v>304</v>
      </c>
      <c r="J889" s="18" t="s">
        <v>305</v>
      </c>
      <c r="K889" s="21"/>
    </row>
    <row r="890" spans="1:11" ht="28.9">
      <c r="A890" s="12">
        <f>_xlfn.AGGREGATE(3,1,$B$6:B888)</f>
        <v>883</v>
      </c>
      <c r="B890" s="13" t="s">
        <v>1243</v>
      </c>
      <c r="C890" s="13" t="s">
        <v>892</v>
      </c>
      <c r="D890" s="16" t="s">
        <v>1249</v>
      </c>
      <c r="E890" s="13" t="s">
        <v>15</v>
      </c>
      <c r="F890" s="15">
        <v>45959</v>
      </c>
      <c r="G890" s="13" t="s">
        <v>20</v>
      </c>
      <c r="H890" s="15"/>
      <c r="I890" s="13" t="s">
        <v>684</v>
      </c>
      <c r="J890" s="13" t="s">
        <v>305</v>
      </c>
      <c r="K890" s="16"/>
    </row>
    <row r="891" spans="1:11" ht="28.9">
      <c r="A891" s="17">
        <f>_xlfn.AGGREGATE(3,1,$B$6:B889)</f>
        <v>884</v>
      </c>
      <c r="B891" s="18" t="s">
        <v>1243</v>
      </c>
      <c r="C891" s="18" t="s">
        <v>107</v>
      </c>
      <c r="D891" s="21" t="s">
        <v>1250</v>
      </c>
      <c r="E891" s="18" t="s">
        <v>15</v>
      </c>
      <c r="F891" s="20">
        <v>45959</v>
      </c>
      <c r="G891" s="18" t="s">
        <v>16</v>
      </c>
      <c r="H891" s="20"/>
      <c r="I891" s="18" t="s">
        <v>304</v>
      </c>
      <c r="J891" s="18" t="s">
        <v>18</v>
      </c>
      <c r="K891" s="21"/>
    </row>
    <row r="892" spans="1:11" ht="28.9">
      <c r="A892" s="12">
        <f>_xlfn.AGGREGATE(3,1,$B$6:B890)</f>
        <v>885</v>
      </c>
      <c r="B892" s="13" t="s">
        <v>1251</v>
      </c>
      <c r="C892" s="13" t="s">
        <v>47</v>
      </c>
      <c r="D892" s="16" t="s">
        <v>1252</v>
      </c>
      <c r="E892" s="13" t="s">
        <v>183</v>
      </c>
      <c r="F892" s="15">
        <v>45960</v>
      </c>
      <c r="G892" s="13" t="s">
        <v>20</v>
      </c>
      <c r="H892" s="15"/>
      <c r="I892" s="13" t="s">
        <v>684</v>
      </c>
      <c r="J892" s="13" t="s">
        <v>305</v>
      </c>
      <c r="K892" s="16"/>
    </row>
    <row r="893" spans="1:11" ht="28.9">
      <c r="A893" s="17">
        <f>_xlfn.AGGREGATE(3,1,$B$6:B891)</f>
        <v>886</v>
      </c>
      <c r="B893" s="18" t="s">
        <v>1251</v>
      </c>
      <c r="C893" s="18" t="s">
        <v>47</v>
      </c>
      <c r="D893" s="21" t="s">
        <v>1253</v>
      </c>
      <c r="E893" s="18" t="s">
        <v>183</v>
      </c>
      <c r="F893" s="20">
        <v>45960</v>
      </c>
      <c r="G893" s="18" t="s">
        <v>16</v>
      </c>
      <c r="H893" s="20"/>
      <c r="I893" s="18" t="s">
        <v>684</v>
      </c>
      <c r="J893" s="18" t="s">
        <v>305</v>
      </c>
      <c r="K893" s="21"/>
    </row>
    <row r="894" spans="1:11" ht="28.9">
      <c r="A894" s="12">
        <f>_xlfn.AGGREGATE(3,1,$B$6:B892)</f>
        <v>887</v>
      </c>
      <c r="B894" s="13" t="s">
        <v>1254</v>
      </c>
      <c r="C894" s="13" t="s">
        <v>1022</v>
      </c>
      <c r="D894" s="16" t="s">
        <v>1255</v>
      </c>
      <c r="E894" s="13" t="s">
        <v>183</v>
      </c>
      <c r="F894" s="15">
        <v>45960</v>
      </c>
      <c r="G894" s="13" t="s">
        <v>20</v>
      </c>
      <c r="H894" s="15"/>
      <c r="I894" s="13" t="s">
        <v>684</v>
      </c>
      <c r="J894" s="13" t="s">
        <v>305</v>
      </c>
      <c r="K894" s="16"/>
    </row>
    <row r="895" spans="1:11" ht="43.15">
      <c r="A895" s="17">
        <f>_xlfn.AGGREGATE(3,1,$B$6:B893)</f>
        <v>888</v>
      </c>
      <c r="B895" s="18" t="s">
        <v>1254</v>
      </c>
      <c r="C895" s="18" t="s">
        <v>1256</v>
      </c>
      <c r="D895" s="21" t="s">
        <v>1257</v>
      </c>
      <c r="E895" s="18" t="s">
        <v>183</v>
      </c>
      <c r="F895" s="20">
        <v>45960</v>
      </c>
      <c r="G895" s="18" t="s">
        <v>20</v>
      </c>
      <c r="H895" s="20"/>
      <c r="I895" s="18" t="s">
        <v>684</v>
      </c>
      <c r="J895" s="18" t="s">
        <v>305</v>
      </c>
      <c r="K895" s="21"/>
    </row>
    <row r="896" spans="1:11" ht="28.9">
      <c r="A896" s="12">
        <f>_xlfn.AGGREGATE(3,1,$B$6:B894)</f>
        <v>889</v>
      </c>
      <c r="B896" s="13" t="s">
        <v>1254</v>
      </c>
      <c r="C896" s="13" t="s">
        <v>1046</v>
      </c>
      <c r="D896" s="16" t="s">
        <v>1258</v>
      </c>
      <c r="E896" s="13" t="s">
        <v>183</v>
      </c>
      <c r="F896" s="15">
        <v>45960</v>
      </c>
      <c r="G896" s="13" t="s">
        <v>20</v>
      </c>
      <c r="H896" s="15"/>
      <c r="I896" s="13" t="s">
        <v>684</v>
      </c>
      <c r="J896" s="13" t="s">
        <v>305</v>
      </c>
      <c r="K896" s="16"/>
    </row>
    <row r="897" spans="1:11">
      <c r="A897" s="17">
        <f>_xlfn.AGGREGATE(3,1,$B$6:B895)</f>
        <v>890</v>
      </c>
      <c r="B897" s="18" t="s">
        <v>1254</v>
      </c>
      <c r="C897" s="18" t="s">
        <v>1259</v>
      </c>
      <c r="D897" s="21" t="s">
        <v>1260</v>
      </c>
      <c r="E897" s="18" t="s">
        <v>183</v>
      </c>
      <c r="F897" s="20">
        <v>45960</v>
      </c>
      <c r="G897" s="18" t="s">
        <v>20</v>
      </c>
      <c r="H897" s="20"/>
      <c r="I897" s="18" t="s">
        <v>684</v>
      </c>
      <c r="J897" s="18" t="s">
        <v>305</v>
      </c>
      <c r="K897" s="21"/>
    </row>
    <row r="898" spans="1:11" ht="28.9">
      <c r="A898" s="12">
        <f>_xlfn.AGGREGATE(3,1,$B$6:B896)</f>
        <v>891</v>
      </c>
      <c r="B898" s="13" t="s">
        <v>1254</v>
      </c>
      <c r="C898" s="13" t="s">
        <v>1261</v>
      </c>
      <c r="D898" s="16" t="s">
        <v>1262</v>
      </c>
      <c r="E898" s="13" t="s">
        <v>183</v>
      </c>
      <c r="F898" s="15">
        <v>45960</v>
      </c>
      <c r="G898" s="13" t="s">
        <v>77</v>
      </c>
      <c r="H898" s="15"/>
      <c r="I898" s="13" t="s">
        <v>684</v>
      </c>
      <c r="J898" s="13" t="s">
        <v>305</v>
      </c>
      <c r="K898" s="16"/>
    </row>
    <row r="899" spans="1:11" ht="43.15">
      <c r="A899" s="17">
        <f>_xlfn.AGGREGATE(3,1,$B$6:B897)</f>
        <v>892</v>
      </c>
      <c r="B899" s="18" t="s">
        <v>1254</v>
      </c>
      <c r="C899" s="18" t="s">
        <v>987</v>
      </c>
      <c r="D899" s="21" t="s">
        <v>1263</v>
      </c>
      <c r="E899" s="18" t="s">
        <v>183</v>
      </c>
      <c r="F899" s="20">
        <v>45960</v>
      </c>
      <c r="G899" s="18" t="s">
        <v>16</v>
      </c>
      <c r="H899" s="20"/>
      <c r="I899" s="18" t="s">
        <v>684</v>
      </c>
      <c r="J899" s="18" t="s">
        <v>305</v>
      </c>
      <c r="K899" s="21"/>
    </row>
    <row r="900" spans="1:11">
      <c r="A900" s="12">
        <f>_xlfn.AGGREGATE(3,1,$B$6:B898)</f>
        <v>893</v>
      </c>
      <c r="B900" s="13" t="s">
        <v>1254</v>
      </c>
      <c r="C900" s="13" t="s">
        <v>1264</v>
      </c>
      <c r="D900" s="16" t="s">
        <v>1265</v>
      </c>
      <c r="E900" s="13" t="s">
        <v>183</v>
      </c>
      <c r="F900" s="15">
        <v>45960</v>
      </c>
      <c r="G900" s="13" t="s">
        <v>77</v>
      </c>
      <c r="H900" s="15"/>
      <c r="I900" s="13" t="s">
        <v>684</v>
      </c>
      <c r="J900" s="13" t="s">
        <v>18</v>
      </c>
      <c r="K900" s="16"/>
    </row>
    <row r="901" spans="1:11" ht="28.9">
      <c r="A901" s="17">
        <f>_xlfn.AGGREGATE(3,1,$B$6:B899)</f>
        <v>894</v>
      </c>
      <c r="B901" s="18" t="s">
        <v>1266</v>
      </c>
      <c r="C901" s="18" t="s">
        <v>47</v>
      </c>
      <c r="D901" s="21" t="s">
        <v>1267</v>
      </c>
      <c r="E901" s="18" t="s">
        <v>1225</v>
      </c>
      <c r="F901" s="20">
        <v>45965</v>
      </c>
      <c r="G901" s="18" t="s">
        <v>16</v>
      </c>
      <c r="H901" s="20"/>
      <c r="I901" s="18" t="s">
        <v>304</v>
      </c>
      <c r="J901" s="18" t="s">
        <v>305</v>
      </c>
      <c r="K901" s="21"/>
    </row>
    <row r="902" spans="1:11" ht="28.9">
      <c r="A902" s="12">
        <f>_xlfn.AGGREGATE(3,1,$B$6:B900)</f>
        <v>895</v>
      </c>
      <c r="B902" s="13" t="s">
        <v>1266</v>
      </c>
      <c r="C902" s="13" t="s">
        <v>47</v>
      </c>
      <c r="D902" s="16" t="s">
        <v>1268</v>
      </c>
      <c r="E902" s="13" t="s">
        <v>1225</v>
      </c>
      <c r="F902" s="15">
        <v>45965</v>
      </c>
      <c r="G902" s="13" t="s">
        <v>16</v>
      </c>
      <c r="H902" s="15"/>
      <c r="I902" s="13" t="s">
        <v>304</v>
      </c>
      <c r="J902" s="13" t="s">
        <v>18</v>
      </c>
      <c r="K902" s="16"/>
    </row>
    <row r="903" spans="1:11" ht="28.9">
      <c r="A903" s="17">
        <f>_xlfn.AGGREGATE(3,1,$B$6:B901)</f>
        <v>896</v>
      </c>
      <c r="B903" s="18" t="s">
        <v>1266</v>
      </c>
      <c r="C903" s="18" t="s">
        <v>47</v>
      </c>
      <c r="D903" s="21" t="s">
        <v>1269</v>
      </c>
      <c r="E903" s="18" t="s">
        <v>1225</v>
      </c>
      <c r="F903" s="20">
        <v>45965</v>
      </c>
      <c r="G903" s="18" t="s">
        <v>16</v>
      </c>
      <c r="H903" s="20"/>
      <c r="I903" s="18" t="s">
        <v>304</v>
      </c>
      <c r="J903" s="18" t="s">
        <v>305</v>
      </c>
      <c r="K903" s="21"/>
    </row>
    <row r="904" spans="1:11" ht="28.9">
      <c r="A904" s="12">
        <f>_xlfn.AGGREGATE(3,1,$B$6:B902)</f>
        <v>897</v>
      </c>
      <c r="B904" s="13" t="s">
        <v>1266</v>
      </c>
      <c r="C904" s="13" t="s">
        <v>1039</v>
      </c>
      <c r="D904" s="16" t="s">
        <v>1270</v>
      </c>
      <c r="E904" s="13" t="s">
        <v>401</v>
      </c>
      <c r="F904" s="15">
        <v>45965</v>
      </c>
      <c r="G904" s="13" t="s">
        <v>20</v>
      </c>
      <c r="H904" s="15"/>
      <c r="I904" s="13" t="s">
        <v>684</v>
      </c>
      <c r="J904" s="13" t="s">
        <v>305</v>
      </c>
      <c r="K904" s="16"/>
    </row>
    <row r="905" spans="1:11" ht="28.9">
      <c r="A905" s="17">
        <f>_xlfn.AGGREGATE(3,1,$B$6:B903)</f>
        <v>898</v>
      </c>
      <c r="B905" s="18" t="s">
        <v>1266</v>
      </c>
      <c r="C905" s="18" t="s">
        <v>1223</v>
      </c>
      <c r="D905" s="21" t="s">
        <v>1271</v>
      </c>
      <c r="E905" s="18" t="s">
        <v>1272</v>
      </c>
      <c r="F905" s="20">
        <v>45965</v>
      </c>
      <c r="G905" s="18" t="s">
        <v>16</v>
      </c>
      <c r="H905" s="20"/>
      <c r="I905" s="18" t="s">
        <v>684</v>
      </c>
      <c r="J905" s="18" t="s">
        <v>305</v>
      </c>
      <c r="K905" s="21"/>
    </row>
    <row r="906" spans="1:11" ht="28.9">
      <c r="A906" s="12">
        <f>_xlfn.AGGREGATE(3,1,$B$6:B904)</f>
        <v>899</v>
      </c>
      <c r="B906" s="13" t="s">
        <v>1266</v>
      </c>
      <c r="C906" s="13" t="s">
        <v>47</v>
      </c>
      <c r="D906" s="16" t="s">
        <v>1273</v>
      </c>
      <c r="E906" s="13" t="s">
        <v>1272</v>
      </c>
      <c r="F906" s="15">
        <v>45965</v>
      </c>
      <c r="G906" s="13" t="s">
        <v>16</v>
      </c>
      <c r="H906" s="15"/>
      <c r="I906" s="13" t="s">
        <v>304</v>
      </c>
      <c r="J906" s="13" t="s">
        <v>305</v>
      </c>
      <c r="K906" s="16"/>
    </row>
    <row r="907" spans="1:11" ht="28.9">
      <c r="A907" s="12">
        <f>_xlfn.AGGREGATE(3,1,$B$6:B906)</f>
        <v>901</v>
      </c>
      <c r="B907" s="13" t="s">
        <v>1274</v>
      </c>
      <c r="C907" s="13" t="s">
        <v>1010</v>
      </c>
      <c r="D907" s="16" t="s">
        <v>1004</v>
      </c>
      <c r="E907" s="13" t="s">
        <v>1275</v>
      </c>
      <c r="F907" s="15">
        <v>45967</v>
      </c>
      <c r="G907" s="13" t="s">
        <v>16</v>
      </c>
      <c r="H907" s="15"/>
      <c r="I907" s="13" t="s">
        <v>684</v>
      </c>
      <c r="J907" s="13" t="s">
        <v>305</v>
      </c>
      <c r="K907" s="16"/>
    </row>
    <row r="908" spans="1:11" ht="28.9">
      <c r="A908" s="17">
        <f>_xlfn.AGGREGATE(3,1,$B$6:B906)</f>
        <v>901</v>
      </c>
      <c r="B908" s="18" t="s">
        <v>1274</v>
      </c>
      <c r="C908" s="18" t="s">
        <v>1010</v>
      </c>
      <c r="D908" s="21" t="s">
        <v>1276</v>
      </c>
      <c r="E908" s="18" t="s">
        <v>1275</v>
      </c>
      <c r="F908" s="20">
        <v>45967</v>
      </c>
      <c r="G908" s="18" t="s">
        <v>16</v>
      </c>
      <c r="H908" s="20"/>
      <c r="I908" s="18" t="s">
        <v>684</v>
      </c>
      <c r="J908" s="18" t="s">
        <v>305</v>
      </c>
      <c r="K908" s="21"/>
    </row>
    <row r="909" spans="1:11" ht="43.15">
      <c r="A909" s="12">
        <f>_xlfn.AGGREGATE(3,1,$B$6:B907)</f>
        <v>902</v>
      </c>
      <c r="B909" s="13" t="s">
        <v>1274</v>
      </c>
      <c r="C909" s="13" t="s">
        <v>47</v>
      </c>
      <c r="D909" s="16" t="s">
        <v>1277</v>
      </c>
      <c r="E909" s="13" t="s">
        <v>1278</v>
      </c>
      <c r="F909" s="15">
        <v>45967</v>
      </c>
      <c r="G909" s="13" t="s">
        <v>77</v>
      </c>
      <c r="H909" s="15"/>
      <c r="I909" s="13" t="s">
        <v>304</v>
      </c>
      <c r="J909" s="13" t="s">
        <v>305</v>
      </c>
      <c r="K909" s="16"/>
    </row>
    <row r="910" spans="1:11" ht="57.6">
      <c r="A910" s="12">
        <f>_xlfn.AGGREGATE(3,1,$B$6:B909)</f>
        <v>904</v>
      </c>
      <c r="B910" s="13" t="s">
        <v>1274</v>
      </c>
      <c r="C910" s="13" t="s">
        <v>910</v>
      </c>
      <c r="D910" s="16" t="s">
        <v>1279</v>
      </c>
      <c r="E910" s="13" t="s">
        <v>1053</v>
      </c>
      <c r="F910" s="15">
        <v>45967</v>
      </c>
      <c r="G910" s="13" t="s">
        <v>77</v>
      </c>
      <c r="H910" s="15"/>
      <c r="I910" s="13" t="s">
        <v>684</v>
      </c>
      <c r="J910" s="13" t="s">
        <v>305</v>
      </c>
      <c r="K910" s="16"/>
    </row>
    <row r="911" spans="1:11">
      <c r="A911" s="17">
        <f>_xlfn.AGGREGATE(3,1,$B$6:B909)</f>
        <v>904</v>
      </c>
      <c r="B911" s="18" t="s">
        <v>1274</v>
      </c>
      <c r="C911" s="18" t="s">
        <v>1051</v>
      </c>
      <c r="D911" s="21" t="s">
        <v>1280</v>
      </c>
      <c r="E911" s="18" t="s">
        <v>1053</v>
      </c>
      <c r="F911" s="20">
        <v>45967</v>
      </c>
      <c r="G911" s="18" t="s">
        <v>20</v>
      </c>
      <c r="H911" s="20"/>
      <c r="I911" s="18" t="s">
        <v>304</v>
      </c>
      <c r="J911" s="18" t="s">
        <v>18</v>
      </c>
      <c r="K911" s="21"/>
    </row>
    <row r="912" spans="1:11" ht="28.9">
      <c r="A912" s="12">
        <f>_xlfn.AGGREGATE(3,1,$B$6:B910)</f>
        <v>905</v>
      </c>
      <c r="B912" s="13" t="s">
        <v>1274</v>
      </c>
      <c r="C912" s="13" t="s">
        <v>1051</v>
      </c>
      <c r="D912" s="16" t="s">
        <v>1281</v>
      </c>
      <c r="E912" s="13" t="s">
        <v>1053</v>
      </c>
      <c r="F912" s="15">
        <v>45967</v>
      </c>
      <c r="G912" s="13" t="s">
        <v>77</v>
      </c>
      <c r="H912" s="15"/>
      <c r="I912" s="13" t="s">
        <v>304</v>
      </c>
      <c r="J912" s="13" t="s">
        <v>18</v>
      </c>
      <c r="K912" s="16"/>
    </row>
    <row r="913" spans="1:11" ht="28.9">
      <c r="A913" s="17">
        <f>_xlfn.AGGREGATE(3,1,$B$6:B911)</f>
        <v>906</v>
      </c>
      <c r="B913" s="18" t="s">
        <v>1274</v>
      </c>
      <c r="C913" s="18" t="s">
        <v>107</v>
      </c>
      <c r="D913" s="21" t="s">
        <v>1282</v>
      </c>
      <c r="E913" s="18" t="s">
        <v>1053</v>
      </c>
      <c r="F913" s="20">
        <v>45967</v>
      </c>
      <c r="G913" s="18" t="s">
        <v>16</v>
      </c>
      <c r="H913" s="20"/>
      <c r="I913" s="18" t="s">
        <v>304</v>
      </c>
      <c r="J913" s="18" t="s">
        <v>305</v>
      </c>
      <c r="K913" s="21"/>
    </row>
    <row r="914" spans="1:11">
      <c r="A914" s="12">
        <f>_xlfn.AGGREGATE(3,1,$B$6:B912)</f>
        <v>907</v>
      </c>
      <c r="B914" s="13" t="s">
        <v>1274</v>
      </c>
      <c r="C914" s="13" t="s">
        <v>1051</v>
      </c>
      <c r="D914" s="16" t="s">
        <v>1283</v>
      </c>
      <c r="E914" s="13" t="s">
        <v>1053</v>
      </c>
      <c r="F914" s="15">
        <v>45967</v>
      </c>
      <c r="G914" s="13" t="s">
        <v>20</v>
      </c>
      <c r="H914" s="15"/>
      <c r="I914" s="13" t="s">
        <v>304</v>
      </c>
      <c r="J914" s="13" t="s">
        <v>305</v>
      </c>
      <c r="K914" s="16"/>
    </row>
    <row r="915" spans="1:11" ht="43.15">
      <c r="A915" s="12">
        <f>_xlfn.AGGREGATE(3,1,$B$6:B914)</f>
        <v>909</v>
      </c>
      <c r="B915" s="13" t="s">
        <v>1274</v>
      </c>
      <c r="C915" s="13" t="s">
        <v>1051</v>
      </c>
      <c r="D915" s="16" t="s">
        <v>1284</v>
      </c>
      <c r="E915" s="13" t="s">
        <v>1285</v>
      </c>
      <c r="F915" s="15">
        <v>45967</v>
      </c>
      <c r="G915" s="13" t="s">
        <v>20</v>
      </c>
      <c r="H915" s="15"/>
      <c r="I915" s="13" t="s">
        <v>304</v>
      </c>
      <c r="J915" s="13" t="s">
        <v>305</v>
      </c>
      <c r="K915" s="16"/>
    </row>
    <row r="916" spans="1:11" ht="28.9">
      <c r="A916" s="17">
        <f>_xlfn.AGGREGATE(3,1,$B$6:B914)</f>
        <v>909</v>
      </c>
      <c r="B916" s="18" t="s">
        <v>1274</v>
      </c>
      <c r="C916" s="18" t="s">
        <v>1286</v>
      </c>
      <c r="D916" s="21" t="s">
        <v>1242</v>
      </c>
      <c r="E916" s="18" t="s">
        <v>1285</v>
      </c>
      <c r="F916" s="20">
        <v>45967</v>
      </c>
      <c r="G916" s="18" t="s">
        <v>20</v>
      </c>
      <c r="H916" s="20"/>
      <c r="I916" s="18" t="s">
        <v>684</v>
      </c>
      <c r="J916" s="18" t="s">
        <v>305</v>
      </c>
      <c r="K916" s="21"/>
    </row>
    <row r="917" spans="1:11" ht="28.9">
      <c r="A917" s="12">
        <f>_xlfn.AGGREGATE(3,1,$B$6:B915)</f>
        <v>910</v>
      </c>
      <c r="B917" s="13" t="s">
        <v>1274</v>
      </c>
      <c r="C917" s="13" t="s">
        <v>1051</v>
      </c>
      <c r="D917" s="16" t="s">
        <v>1287</v>
      </c>
      <c r="E917" s="13" t="s">
        <v>1285</v>
      </c>
      <c r="F917" s="15">
        <v>45967</v>
      </c>
      <c r="G917" s="13" t="s">
        <v>20</v>
      </c>
      <c r="H917" s="15"/>
      <c r="I917" s="13" t="s">
        <v>304</v>
      </c>
      <c r="J917" s="13" t="s">
        <v>305</v>
      </c>
      <c r="K917" s="16"/>
    </row>
    <row r="918" spans="1:11" ht="28.9">
      <c r="A918" s="17">
        <f>_xlfn.AGGREGATE(3,1,$B$6:B916)</f>
        <v>911</v>
      </c>
      <c r="B918" s="18" t="s">
        <v>1288</v>
      </c>
      <c r="C918" s="18" t="s">
        <v>927</v>
      </c>
      <c r="D918" s="21" t="s">
        <v>1289</v>
      </c>
      <c r="E918" s="18" t="s">
        <v>42</v>
      </c>
      <c r="F918" s="20">
        <v>45968</v>
      </c>
      <c r="G918" s="18" t="s">
        <v>16</v>
      </c>
      <c r="H918" s="20"/>
      <c r="I918" s="18" t="s">
        <v>684</v>
      </c>
      <c r="J918" s="18" t="s">
        <v>305</v>
      </c>
      <c r="K918" s="21"/>
    </row>
    <row r="919" spans="1:11" ht="28.9">
      <c r="A919" s="12">
        <f>_xlfn.AGGREGATE(3,1,$B$6:B917)</f>
        <v>912</v>
      </c>
      <c r="B919" s="13" t="s">
        <v>1288</v>
      </c>
      <c r="C919" s="13" t="s">
        <v>107</v>
      </c>
      <c r="D919" s="16" t="s">
        <v>1282</v>
      </c>
      <c r="E919" s="13" t="s">
        <v>42</v>
      </c>
      <c r="F919" s="15">
        <v>45968</v>
      </c>
      <c r="G919" s="13" t="s">
        <v>16</v>
      </c>
      <c r="H919" s="15"/>
      <c r="I919" s="13" t="s">
        <v>304</v>
      </c>
      <c r="J919" s="13" t="s">
        <v>18</v>
      </c>
      <c r="K919" s="16"/>
    </row>
    <row r="920" spans="1:11">
      <c r="A920" s="17">
        <f>_xlfn.AGGREGATE(3,1,$B$6:B918)</f>
        <v>913</v>
      </c>
      <c r="B920" s="18" t="s">
        <v>1288</v>
      </c>
      <c r="C920" s="18" t="s">
        <v>107</v>
      </c>
      <c r="D920" s="21" t="s">
        <v>1290</v>
      </c>
      <c r="E920" s="18" t="s">
        <v>42</v>
      </c>
      <c r="F920" s="20">
        <v>45968</v>
      </c>
      <c r="G920" s="18" t="s">
        <v>20</v>
      </c>
      <c r="H920" s="20"/>
      <c r="I920" s="18" t="s">
        <v>304</v>
      </c>
      <c r="J920" s="18" t="s">
        <v>305</v>
      </c>
      <c r="K920" s="21"/>
    </row>
    <row r="921" spans="1:11" ht="28.9">
      <c r="A921" s="12">
        <f>_xlfn.AGGREGATE(3,1,$B$6:B919)</f>
        <v>914</v>
      </c>
      <c r="B921" s="13" t="s">
        <v>1288</v>
      </c>
      <c r="C921" s="13" t="s">
        <v>1051</v>
      </c>
      <c r="D921" s="16" t="s">
        <v>1291</v>
      </c>
      <c r="E921" s="13" t="s">
        <v>1292</v>
      </c>
      <c r="F921" s="15">
        <v>45968</v>
      </c>
      <c r="G921" s="13" t="s">
        <v>77</v>
      </c>
      <c r="H921" s="15"/>
      <c r="I921" s="13" t="s">
        <v>304</v>
      </c>
      <c r="J921" s="13" t="s">
        <v>305</v>
      </c>
      <c r="K921" s="16"/>
    </row>
    <row r="922" spans="1:11" ht="43.15">
      <c r="A922" s="17">
        <f>_xlfn.AGGREGATE(3,1,$B$6:B920)</f>
        <v>915</v>
      </c>
      <c r="B922" s="18" t="s">
        <v>1288</v>
      </c>
      <c r="C922" s="18" t="s">
        <v>998</v>
      </c>
      <c r="D922" s="21" t="s">
        <v>1293</v>
      </c>
      <c r="E922" s="18" t="s">
        <v>1292</v>
      </c>
      <c r="F922" s="20">
        <v>45968</v>
      </c>
      <c r="G922" s="18" t="s">
        <v>20</v>
      </c>
      <c r="H922" s="20"/>
      <c r="I922" s="18" t="s">
        <v>684</v>
      </c>
      <c r="J922" s="18" t="s">
        <v>305</v>
      </c>
      <c r="K922" s="21"/>
    </row>
    <row r="923" spans="1:11" ht="28.9">
      <c r="A923" s="12">
        <f>_xlfn.AGGREGATE(3,1,$B$6:B921)</f>
        <v>916</v>
      </c>
      <c r="B923" s="13" t="s">
        <v>1288</v>
      </c>
      <c r="C923" s="13" t="s">
        <v>107</v>
      </c>
      <c r="D923" s="16" t="s">
        <v>1282</v>
      </c>
      <c r="E923" s="13" t="s">
        <v>1292</v>
      </c>
      <c r="F923" s="15">
        <v>45968</v>
      </c>
      <c r="G923" s="13" t="s">
        <v>16</v>
      </c>
      <c r="H923" s="15"/>
      <c r="I923" s="13" t="s">
        <v>304</v>
      </c>
      <c r="J923" s="13" t="s">
        <v>18</v>
      </c>
      <c r="K923" s="16"/>
    </row>
    <row r="924" spans="1:11" ht="28.9">
      <c r="A924" s="17">
        <f>_xlfn.AGGREGATE(3,1,$B$6:B922)</f>
        <v>917</v>
      </c>
      <c r="B924" s="18" t="s">
        <v>1288</v>
      </c>
      <c r="C924" s="18" t="s">
        <v>1051</v>
      </c>
      <c r="D924" s="21" t="s">
        <v>1294</v>
      </c>
      <c r="E924" s="18" t="s">
        <v>38</v>
      </c>
      <c r="F924" s="20">
        <v>45968</v>
      </c>
      <c r="G924" s="18" t="s">
        <v>20</v>
      </c>
      <c r="H924" s="20"/>
      <c r="I924" s="18" t="s">
        <v>304</v>
      </c>
      <c r="J924" s="18" t="s">
        <v>305</v>
      </c>
      <c r="K924" s="21"/>
    </row>
    <row r="925" spans="1:11" ht="43.15">
      <c r="A925" s="12">
        <f>_xlfn.AGGREGATE(3,1,$B$6:B923)</f>
        <v>918</v>
      </c>
      <c r="B925" s="13" t="s">
        <v>1288</v>
      </c>
      <c r="C925" s="13" t="s">
        <v>1051</v>
      </c>
      <c r="D925" s="16" t="s">
        <v>1295</v>
      </c>
      <c r="E925" s="13" t="s">
        <v>38</v>
      </c>
      <c r="F925" s="15">
        <v>45968</v>
      </c>
      <c r="G925" s="13" t="s">
        <v>20</v>
      </c>
      <c r="H925" s="15"/>
      <c r="I925" s="13" t="s">
        <v>304</v>
      </c>
      <c r="J925" s="13" t="s">
        <v>305</v>
      </c>
      <c r="K925" s="16"/>
    </row>
    <row r="926" spans="1:11" ht="57.6">
      <c r="A926" s="17">
        <f>_xlfn.AGGREGATE(3,1,$B$6:B924)</f>
        <v>919</v>
      </c>
      <c r="B926" s="18" t="s">
        <v>1288</v>
      </c>
      <c r="C926" s="18" t="s">
        <v>1231</v>
      </c>
      <c r="D926" s="21" t="s">
        <v>1279</v>
      </c>
      <c r="E926" s="18" t="s">
        <v>38</v>
      </c>
      <c r="F926" s="20">
        <v>45968</v>
      </c>
      <c r="G926" s="18" t="s">
        <v>77</v>
      </c>
      <c r="H926" s="20"/>
      <c r="I926" s="18" t="s">
        <v>684</v>
      </c>
      <c r="J926" s="18" t="s">
        <v>305</v>
      </c>
      <c r="K926" s="21"/>
    </row>
    <row r="927" spans="1:11" ht="28.9">
      <c r="A927" s="12">
        <f>_xlfn.AGGREGATE(3,1,$B$6:B925)</f>
        <v>920</v>
      </c>
      <c r="B927" s="13" t="s">
        <v>1288</v>
      </c>
      <c r="C927" s="13" t="s">
        <v>1051</v>
      </c>
      <c r="D927" s="16" t="s">
        <v>1296</v>
      </c>
      <c r="E927" s="13" t="s">
        <v>38</v>
      </c>
      <c r="F927" s="15">
        <v>45968</v>
      </c>
      <c r="G927" s="13" t="s">
        <v>77</v>
      </c>
      <c r="H927" s="15"/>
      <c r="I927" s="13" t="s">
        <v>304</v>
      </c>
      <c r="J927" s="13" t="s">
        <v>305</v>
      </c>
      <c r="K927" s="16"/>
    </row>
    <row r="928" spans="1:11" ht="28.9">
      <c r="A928" s="17">
        <f>_xlfn.AGGREGATE(3,1,$B$6:B926)</f>
        <v>921</v>
      </c>
      <c r="B928" s="18" t="s">
        <v>1288</v>
      </c>
      <c r="C928" s="18" t="s">
        <v>1297</v>
      </c>
      <c r="D928" s="21" t="s">
        <v>1298</v>
      </c>
      <c r="E928" s="18" t="s">
        <v>1059</v>
      </c>
      <c r="F928" s="20">
        <v>45968</v>
      </c>
      <c r="G928" s="18" t="s">
        <v>20</v>
      </c>
      <c r="H928" s="20"/>
      <c r="I928" s="18" t="s">
        <v>684</v>
      </c>
      <c r="J928" s="18" t="s">
        <v>305</v>
      </c>
      <c r="K928" s="21"/>
    </row>
    <row r="929" spans="1:11" ht="28.9">
      <c r="A929" s="12">
        <f>_xlfn.AGGREGATE(3,1,$B$6:B927)</f>
        <v>922</v>
      </c>
      <c r="B929" s="13" t="s">
        <v>1288</v>
      </c>
      <c r="C929" s="13" t="s">
        <v>107</v>
      </c>
      <c r="D929" s="16" t="s">
        <v>1282</v>
      </c>
      <c r="E929" s="13" t="s">
        <v>1059</v>
      </c>
      <c r="F929" s="15">
        <v>45968</v>
      </c>
      <c r="G929" s="13" t="s">
        <v>16</v>
      </c>
      <c r="H929" s="15"/>
      <c r="I929" s="13" t="s">
        <v>304</v>
      </c>
      <c r="J929" s="13" t="s">
        <v>305</v>
      </c>
      <c r="K929" s="16"/>
    </row>
    <row r="930" spans="1:11" ht="28.9">
      <c r="A930" s="17">
        <f>_xlfn.AGGREGATE(3,1,$B$6:B928)</f>
        <v>923</v>
      </c>
      <c r="B930" s="18" t="s">
        <v>1288</v>
      </c>
      <c r="C930" s="18" t="s">
        <v>1299</v>
      </c>
      <c r="D930" s="21" t="s">
        <v>1289</v>
      </c>
      <c r="E930" s="18" t="s">
        <v>1300</v>
      </c>
      <c r="F930" s="20">
        <v>45968</v>
      </c>
      <c r="G930" s="18" t="s">
        <v>16</v>
      </c>
      <c r="H930" s="20"/>
      <c r="I930" s="18" t="s">
        <v>684</v>
      </c>
      <c r="J930" s="18" t="s">
        <v>305</v>
      </c>
      <c r="K930" s="21"/>
    </row>
    <row r="931" spans="1:11" ht="28.9">
      <c r="A931" s="12">
        <f>_xlfn.AGGREGATE(3,1,$B$6:B929)</f>
        <v>924</v>
      </c>
      <c r="B931" s="13" t="s">
        <v>1288</v>
      </c>
      <c r="C931" s="13" t="s">
        <v>107</v>
      </c>
      <c r="D931" s="16" t="s">
        <v>1282</v>
      </c>
      <c r="E931" s="13" t="s">
        <v>1300</v>
      </c>
      <c r="F931" s="15">
        <v>45968</v>
      </c>
      <c r="G931" s="13" t="s">
        <v>16</v>
      </c>
      <c r="H931" s="15"/>
      <c r="I931" s="13" t="s">
        <v>304</v>
      </c>
      <c r="J931" s="13" t="s">
        <v>305</v>
      </c>
      <c r="K931" s="16"/>
    </row>
    <row r="932" spans="1:11" ht="28.9">
      <c r="A932" s="17">
        <f>_xlfn.AGGREGATE(3,1,$B$6:B930)</f>
        <v>925</v>
      </c>
      <c r="B932" s="18" t="s">
        <v>1288</v>
      </c>
      <c r="C932" s="18" t="s">
        <v>956</v>
      </c>
      <c r="D932" s="21" t="s">
        <v>1301</v>
      </c>
      <c r="E932" s="18" t="s">
        <v>61</v>
      </c>
      <c r="F932" s="20">
        <v>45968</v>
      </c>
      <c r="G932" s="18" t="s">
        <v>20</v>
      </c>
      <c r="H932" s="20"/>
      <c r="I932" s="18" t="s">
        <v>684</v>
      </c>
      <c r="J932" s="18" t="s">
        <v>305</v>
      </c>
      <c r="K932" s="21"/>
    </row>
    <row r="933" spans="1:11" ht="28.9">
      <c r="A933" s="12">
        <f>_xlfn.AGGREGATE(3,1,$B$6:B931)</f>
        <v>926</v>
      </c>
      <c r="B933" s="13" t="s">
        <v>1288</v>
      </c>
      <c r="C933" s="13" t="s">
        <v>956</v>
      </c>
      <c r="D933" s="16" t="s">
        <v>1289</v>
      </c>
      <c r="E933" s="13" t="s">
        <v>61</v>
      </c>
      <c r="F933" s="15">
        <v>45968</v>
      </c>
      <c r="G933" s="13" t="s">
        <v>16</v>
      </c>
      <c r="H933" s="15"/>
      <c r="I933" s="13" t="s">
        <v>684</v>
      </c>
      <c r="J933" s="13" t="s">
        <v>305</v>
      </c>
      <c r="K933" s="16"/>
    </row>
    <row r="934" spans="1:11">
      <c r="A934" s="17">
        <f>_xlfn.AGGREGATE(3,1,$B$6:B932)</f>
        <v>927</v>
      </c>
      <c r="B934" s="18" t="s">
        <v>1302</v>
      </c>
      <c r="C934" s="18" t="s">
        <v>1022</v>
      </c>
      <c r="D934" s="21" t="s">
        <v>1303</v>
      </c>
      <c r="E934" s="18" t="s">
        <v>183</v>
      </c>
      <c r="F934" s="20">
        <v>45971</v>
      </c>
      <c r="G934" s="18" t="s">
        <v>20</v>
      </c>
      <c r="H934" s="20"/>
      <c r="I934" s="18" t="s">
        <v>684</v>
      </c>
      <c r="J934" s="18" t="s">
        <v>305</v>
      </c>
      <c r="K934" s="21"/>
    </row>
    <row r="935" spans="1:11">
      <c r="A935" s="12">
        <f>_xlfn.AGGREGATE(3,1,$B$6:B933)</f>
        <v>928</v>
      </c>
      <c r="B935" s="13" t="s">
        <v>1302</v>
      </c>
      <c r="C935" s="13" t="s">
        <v>873</v>
      </c>
      <c r="D935" s="16" t="s">
        <v>1304</v>
      </c>
      <c r="E935" s="13" t="s">
        <v>183</v>
      </c>
      <c r="F935" s="15">
        <v>45971</v>
      </c>
      <c r="G935" s="13" t="s">
        <v>20</v>
      </c>
      <c r="H935" s="15"/>
      <c r="I935" s="13" t="s">
        <v>684</v>
      </c>
      <c r="J935" s="13" t="s">
        <v>305</v>
      </c>
      <c r="K935" s="16"/>
    </row>
    <row r="936" spans="1:11" ht="28.9">
      <c r="A936" s="17">
        <f>_xlfn.AGGREGATE(3,1,$B$6:B934)</f>
        <v>929</v>
      </c>
      <c r="B936" s="18" t="s">
        <v>1302</v>
      </c>
      <c r="C936" s="18" t="s">
        <v>943</v>
      </c>
      <c r="D936" s="21" t="s">
        <v>1305</v>
      </c>
      <c r="E936" s="18" t="s">
        <v>183</v>
      </c>
      <c r="F936" s="20">
        <v>45971</v>
      </c>
      <c r="G936" s="18" t="s">
        <v>20</v>
      </c>
      <c r="H936" s="20"/>
      <c r="I936" s="18" t="s">
        <v>684</v>
      </c>
      <c r="J936" s="18" t="s">
        <v>18</v>
      </c>
      <c r="K936" s="21"/>
    </row>
    <row r="937" spans="1:11">
      <c r="A937" s="12">
        <f>_xlfn.AGGREGATE(3,1,$B$6:B935)</f>
        <v>930</v>
      </c>
      <c r="B937" s="13" t="s">
        <v>1302</v>
      </c>
      <c r="C937" s="13" t="s">
        <v>1306</v>
      </c>
      <c r="D937" s="16" t="s">
        <v>1307</v>
      </c>
      <c r="E937" s="13" t="s">
        <v>183</v>
      </c>
      <c r="F937" s="15">
        <v>45971</v>
      </c>
      <c r="G937" s="13" t="s">
        <v>16</v>
      </c>
      <c r="H937" s="15"/>
      <c r="I937" s="13" t="s">
        <v>684</v>
      </c>
      <c r="J937" s="13" t="s">
        <v>18</v>
      </c>
      <c r="K937" s="16"/>
    </row>
    <row r="938" spans="1:11" ht="28.9">
      <c r="A938" s="17">
        <f>_xlfn.AGGREGATE(3,1,$B$6:B936)</f>
        <v>931</v>
      </c>
      <c r="B938" s="18" t="s">
        <v>1302</v>
      </c>
      <c r="C938" s="18" t="s">
        <v>1308</v>
      </c>
      <c r="D938" s="21" t="s">
        <v>1309</v>
      </c>
      <c r="E938" s="18" t="s">
        <v>183</v>
      </c>
      <c r="F938" s="20">
        <v>45971</v>
      </c>
      <c r="G938" s="18" t="s">
        <v>16</v>
      </c>
      <c r="H938" s="20"/>
      <c r="I938" s="18" t="s">
        <v>684</v>
      </c>
      <c r="J938" s="18" t="s">
        <v>305</v>
      </c>
      <c r="K938" s="21"/>
    </row>
    <row r="939" spans="1:11" ht="28.9">
      <c r="A939" s="12">
        <f>_xlfn.AGGREGATE(3,1,$B$6:B937)</f>
        <v>932</v>
      </c>
      <c r="B939" s="13" t="s">
        <v>1302</v>
      </c>
      <c r="C939" s="13" t="s">
        <v>1123</v>
      </c>
      <c r="D939" s="16" t="s">
        <v>1310</v>
      </c>
      <c r="E939" s="13" t="s">
        <v>183</v>
      </c>
      <c r="F939" s="15">
        <v>45971</v>
      </c>
      <c r="G939" s="13" t="s">
        <v>77</v>
      </c>
      <c r="H939" s="15"/>
      <c r="I939" s="13" t="s">
        <v>684</v>
      </c>
      <c r="J939" s="13" t="s">
        <v>18</v>
      </c>
      <c r="K939" s="16"/>
    </row>
    <row r="940" spans="1:11" ht="43.15">
      <c r="A940" s="17">
        <f>_xlfn.AGGREGATE(3,1,$B$6:B938)</f>
        <v>933</v>
      </c>
      <c r="B940" s="18" t="s">
        <v>1302</v>
      </c>
      <c r="C940" s="18" t="s">
        <v>1311</v>
      </c>
      <c r="D940" s="21" t="s">
        <v>1312</v>
      </c>
      <c r="E940" s="18" t="s">
        <v>183</v>
      </c>
      <c r="F940" s="20">
        <v>45971</v>
      </c>
      <c r="G940" s="18" t="s">
        <v>77</v>
      </c>
      <c r="H940" s="20"/>
      <c r="I940" s="18" t="s">
        <v>684</v>
      </c>
      <c r="J940" s="18" t="s">
        <v>305</v>
      </c>
      <c r="K940" s="21"/>
    </row>
    <row r="941" spans="1:11">
      <c r="A941" s="12">
        <f>_xlfn.AGGREGATE(3,1,$B$6:B939)</f>
        <v>934</v>
      </c>
      <c r="B941" s="13" t="s">
        <v>1302</v>
      </c>
      <c r="C941" s="13" t="s">
        <v>47</v>
      </c>
      <c r="D941" s="16" t="s">
        <v>1313</v>
      </c>
      <c r="E941" s="13" t="s">
        <v>183</v>
      </c>
      <c r="F941" s="15">
        <v>45971</v>
      </c>
      <c r="G941" s="13" t="s">
        <v>77</v>
      </c>
      <c r="H941" s="15"/>
      <c r="I941" s="13" t="s">
        <v>684</v>
      </c>
      <c r="J941" s="13" t="s">
        <v>305</v>
      </c>
      <c r="K941" s="16"/>
    </row>
    <row r="942" spans="1:11" ht="57.6">
      <c r="A942" s="17">
        <f>_xlfn.AGGREGATE(3,1,$B$6:B940)</f>
        <v>935</v>
      </c>
      <c r="B942" s="18" t="s">
        <v>1314</v>
      </c>
      <c r="C942" s="18" t="s">
        <v>47</v>
      </c>
      <c r="D942" s="21" t="s">
        <v>1315</v>
      </c>
      <c r="E942" s="18" t="s">
        <v>183</v>
      </c>
      <c r="F942" s="20">
        <v>45971</v>
      </c>
      <c r="G942" s="18" t="s">
        <v>20</v>
      </c>
      <c r="H942" s="20"/>
      <c r="I942" s="18" t="s">
        <v>684</v>
      </c>
      <c r="J942" s="18" t="s">
        <v>305</v>
      </c>
      <c r="K942" s="21"/>
    </row>
    <row r="943" spans="1:11" ht="43.15">
      <c r="A943" s="12">
        <f>_xlfn.AGGREGATE(3,1,$B$6:B941)</f>
        <v>936</v>
      </c>
      <c r="B943" s="13" t="s">
        <v>1314</v>
      </c>
      <c r="C943" s="13" t="s">
        <v>47</v>
      </c>
      <c r="D943" s="16" t="s">
        <v>1316</v>
      </c>
      <c r="E943" s="13" t="s">
        <v>183</v>
      </c>
      <c r="F943" s="15">
        <v>45971</v>
      </c>
      <c r="G943" s="13" t="s">
        <v>20</v>
      </c>
      <c r="H943" s="15"/>
      <c r="I943" s="13" t="s">
        <v>684</v>
      </c>
      <c r="J943" s="13" t="s">
        <v>305</v>
      </c>
      <c r="K943" s="16"/>
    </row>
    <row r="944" spans="1:11">
      <c r="A944" s="17">
        <f>_xlfn.AGGREGATE(3,1,$B$6:B942)</f>
        <v>937</v>
      </c>
      <c r="B944" s="18" t="s">
        <v>1314</v>
      </c>
      <c r="C944" s="18" t="s">
        <v>47</v>
      </c>
      <c r="D944" s="21" t="s">
        <v>1317</v>
      </c>
      <c r="E944" s="18" t="s">
        <v>183</v>
      </c>
      <c r="F944" s="20">
        <v>45971</v>
      </c>
      <c r="G944" s="18" t="s">
        <v>20</v>
      </c>
      <c r="H944" s="20"/>
      <c r="I944" s="18" t="s">
        <v>684</v>
      </c>
      <c r="J944" s="18" t="s">
        <v>305</v>
      </c>
      <c r="K944" s="21"/>
    </row>
    <row r="945" spans="1:11" ht="28.9">
      <c r="A945" s="12">
        <f>_xlfn.AGGREGATE(3,1,$B$6:B943)</f>
        <v>938</v>
      </c>
      <c r="B945" s="13" t="s">
        <v>1318</v>
      </c>
      <c r="C945" s="13" t="s">
        <v>47</v>
      </c>
      <c r="D945" s="16" t="s">
        <v>1267</v>
      </c>
      <c r="E945" s="13" t="s">
        <v>388</v>
      </c>
      <c r="F945" s="15">
        <v>45971</v>
      </c>
      <c r="G945" s="13" t="s">
        <v>16</v>
      </c>
      <c r="H945" s="15"/>
      <c r="I945" s="13" t="s">
        <v>304</v>
      </c>
      <c r="J945" s="13" t="s">
        <v>305</v>
      </c>
      <c r="K945" s="16"/>
    </row>
    <row r="946" spans="1:11" ht="28.9">
      <c r="A946" s="17">
        <f>_xlfn.AGGREGATE(3,1,$B$6:B944)</f>
        <v>939</v>
      </c>
      <c r="B946" s="18" t="s">
        <v>1318</v>
      </c>
      <c r="C946" s="18" t="s">
        <v>47</v>
      </c>
      <c r="D946" s="21" t="s">
        <v>1319</v>
      </c>
      <c r="E946" s="18" t="s">
        <v>388</v>
      </c>
      <c r="F946" s="20">
        <v>45971</v>
      </c>
      <c r="G946" s="18" t="s">
        <v>16</v>
      </c>
      <c r="H946" s="20"/>
      <c r="I946" s="18" t="s">
        <v>304</v>
      </c>
      <c r="J946" s="18" t="s">
        <v>305</v>
      </c>
      <c r="K946" s="21"/>
    </row>
    <row r="947" spans="1:11" ht="28.9">
      <c r="A947" s="12">
        <f>_xlfn.AGGREGATE(3,1,$B$6:B945)</f>
        <v>940</v>
      </c>
      <c r="B947" s="13" t="s">
        <v>1318</v>
      </c>
      <c r="C947" s="13" t="s">
        <v>1036</v>
      </c>
      <c r="D947" s="16" t="s">
        <v>1320</v>
      </c>
      <c r="E947" s="13" t="s">
        <v>388</v>
      </c>
      <c r="F947" s="15">
        <v>45971</v>
      </c>
      <c r="G947" s="13" t="s">
        <v>16</v>
      </c>
      <c r="H947" s="15"/>
      <c r="I947" s="13" t="s">
        <v>684</v>
      </c>
      <c r="J947" s="13" t="s">
        <v>305</v>
      </c>
      <c r="K947" s="16"/>
    </row>
    <row r="948" spans="1:11" ht="28.9">
      <c r="A948" s="17">
        <f>_xlfn.AGGREGATE(3,1,$B$6:B946)</f>
        <v>941</v>
      </c>
      <c r="B948" s="18" t="s">
        <v>1318</v>
      </c>
      <c r="C948" s="18" t="s">
        <v>1036</v>
      </c>
      <c r="D948" s="21" t="s">
        <v>1321</v>
      </c>
      <c r="E948" s="18" t="s">
        <v>388</v>
      </c>
      <c r="F948" s="20">
        <v>45971</v>
      </c>
      <c r="G948" s="18" t="s">
        <v>16</v>
      </c>
      <c r="H948" s="20"/>
      <c r="I948" s="18" t="s">
        <v>684</v>
      </c>
      <c r="J948" s="18" t="s">
        <v>305</v>
      </c>
      <c r="K948" s="21"/>
    </row>
    <row r="949" spans="1:11" ht="43.15">
      <c r="A949" s="12">
        <f>_xlfn.AGGREGATE(3,1,$B$6:B947)</f>
        <v>942</v>
      </c>
      <c r="B949" s="13" t="s">
        <v>1318</v>
      </c>
      <c r="C949" s="13" t="s">
        <v>47</v>
      </c>
      <c r="D949" s="16" t="s">
        <v>1322</v>
      </c>
      <c r="E949" s="13" t="s">
        <v>1323</v>
      </c>
      <c r="F949" s="15">
        <v>45971</v>
      </c>
      <c r="G949" s="13" t="s">
        <v>16</v>
      </c>
      <c r="H949" s="15"/>
      <c r="I949" s="13" t="s">
        <v>304</v>
      </c>
      <c r="J949" s="13" t="s">
        <v>18</v>
      </c>
      <c r="K949" s="16"/>
    </row>
    <row r="950" spans="1:11" ht="30.75">
      <c r="A950" s="17">
        <f>_xlfn.AGGREGATE(3,1,$B$6:B948)</f>
        <v>943</v>
      </c>
      <c r="B950" s="18" t="s">
        <v>1318</v>
      </c>
      <c r="C950" s="18" t="s">
        <v>47</v>
      </c>
      <c r="D950" s="21" t="s">
        <v>1324</v>
      </c>
      <c r="E950" s="18" t="s">
        <v>1092</v>
      </c>
      <c r="F950" s="20">
        <v>45971</v>
      </c>
      <c r="G950" s="18" t="s">
        <v>16</v>
      </c>
      <c r="H950" s="20"/>
      <c r="I950" s="18" t="s">
        <v>304</v>
      </c>
      <c r="J950" s="18" t="s">
        <v>18</v>
      </c>
      <c r="K950" s="21"/>
    </row>
    <row r="951" spans="1:11" ht="28.9">
      <c r="A951" s="12">
        <f>_xlfn.AGGREGATE(3,1,$B$6:B949)</f>
        <v>944</v>
      </c>
      <c r="B951" s="13" t="s">
        <v>1318</v>
      </c>
      <c r="C951" s="13" t="s">
        <v>873</v>
      </c>
      <c r="D951" s="16" t="s">
        <v>1325</v>
      </c>
      <c r="E951" s="13" t="s">
        <v>1087</v>
      </c>
      <c r="F951" s="15">
        <v>45971</v>
      </c>
      <c r="G951" s="13" t="s">
        <v>20</v>
      </c>
      <c r="H951" s="15"/>
      <c r="I951" s="13" t="s">
        <v>684</v>
      </c>
      <c r="J951" s="13" t="s">
        <v>305</v>
      </c>
      <c r="K951" s="16"/>
    </row>
    <row r="952" spans="1:11" ht="28.9">
      <c r="A952" s="12">
        <f>_xlfn.AGGREGATE(3,1,$B$6:B951)</f>
        <v>946</v>
      </c>
      <c r="B952" s="13" t="s">
        <v>1318</v>
      </c>
      <c r="C952" s="13" t="s">
        <v>47</v>
      </c>
      <c r="D952" s="16" t="s">
        <v>1326</v>
      </c>
      <c r="E952" s="13" t="s">
        <v>1087</v>
      </c>
      <c r="F952" s="15">
        <v>45971</v>
      </c>
      <c r="G952" s="13" t="s">
        <v>16</v>
      </c>
      <c r="H952" s="15"/>
      <c r="I952" s="13" t="s">
        <v>304</v>
      </c>
      <c r="J952" s="13" t="s">
        <v>305</v>
      </c>
      <c r="K952" s="16"/>
    </row>
    <row r="953" spans="1:11" ht="28.9">
      <c r="A953" s="17">
        <f>_xlfn.AGGREGATE(3,1,$B$6:B951)</f>
        <v>946</v>
      </c>
      <c r="B953" s="18" t="s">
        <v>1327</v>
      </c>
      <c r="C953" s="18" t="s">
        <v>47</v>
      </c>
      <c r="D953" s="21" t="s">
        <v>1328</v>
      </c>
      <c r="E953" s="18" t="s">
        <v>183</v>
      </c>
      <c r="F953" s="20">
        <v>45972</v>
      </c>
      <c r="G953" s="18" t="s">
        <v>20</v>
      </c>
      <c r="H953" s="20"/>
      <c r="I953" s="18" t="s">
        <v>684</v>
      </c>
      <c r="J953" s="18" t="s">
        <v>305</v>
      </c>
      <c r="K953" s="21"/>
    </row>
    <row r="954" spans="1:11" ht="43.15">
      <c r="A954" s="12">
        <f>_xlfn.AGGREGATE(3,1,$B$6:B952)</f>
        <v>947</v>
      </c>
      <c r="B954" s="13" t="s">
        <v>1327</v>
      </c>
      <c r="C954" s="13" t="s">
        <v>1299</v>
      </c>
      <c r="D954" s="16" t="s">
        <v>1329</v>
      </c>
      <c r="E954" s="13" t="s">
        <v>183</v>
      </c>
      <c r="F954" s="15">
        <v>45972</v>
      </c>
      <c r="G954" s="13" t="s">
        <v>20</v>
      </c>
      <c r="H954" s="15"/>
      <c r="I954" s="13" t="s">
        <v>684</v>
      </c>
      <c r="J954" s="13" t="s">
        <v>305</v>
      </c>
      <c r="K954" s="16"/>
    </row>
    <row r="955" spans="1:11" ht="28.9">
      <c r="A955" s="17">
        <f>_xlfn.AGGREGATE(3,1,$B$6:B953)</f>
        <v>948</v>
      </c>
      <c r="B955" s="18" t="s">
        <v>1327</v>
      </c>
      <c r="C955" s="18" t="s">
        <v>1299</v>
      </c>
      <c r="D955" s="21" t="s">
        <v>1330</v>
      </c>
      <c r="E955" s="18" t="s">
        <v>183</v>
      </c>
      <c r="F955" s="20">
        <v>45972</v>
      </c>
      <c r="G955" s="18" t="s">
        <v>20</v>
      </c>
      <c r="H955" s="20"/>
      <c r="I955" s="18" t="s">
        <v>684</v>
      </c>
      <c r="J955" s="18" t="s">
        <v>305</v>
      </c>
      <c r="K955" s="21"/>
    </row>
    <row r="956" spans="1:11" ht="28.9">
      <c r="A956" s="12">
        <f>_xlfn.AGGREGATE(3,1,$B$6:B954)</f>
        <v>949</v>
      </c>
      <c r="B956" s="13" t="s">
        <v>1327</v>
      </c>
      <c r="C956" s="13" t="s">
        <v>1308</v>
      </c>
      <c r="D956" s="16" t="s">
        <v>1331</v>
      </c>
      <c r="E956" s="13" t="s">
        <v>183</v>
      </c>
      <c r="F956" s="15">
        <v>45972</v>
      </c>
      <c r="G956" s="13" t="s">
        <v>16</v>
      </c>
      <c r="H956" s="15"/>
      <c r="I956" s="13" t="s">
        <v>684</v>
      </c>
      <c r="J956" s="13" t="s">
        <v>18</v>
      </c>
      <c r="K956" s="16"/>
    </row>
    <row r="957" spans="1:11">
      <c r="A957" s="17">
        <f>_xlfn.AGGREGATE(3,1,$B$6:B955)</f>
        <v>950</v>
      </c>
      <c r="B957" s="18" t="s">
        <v>1327</v>
      </c>
      <c r="C957" s="18" t="s">
        <v>1102</v>
      </c>
      <c r="D957" s="21" t="s">
        <v>1332</v>
      </c>
      <c r="E957" s="18" t="s">
        <v>183</v>
      </c>
      <c r="F957" s="20">
        <v>45972</v>
      </c>
      <c r="G957" s="18" t="s">
        <v>77</v>
      </c>
      <c r="H957" s="20"/>
      <c r="I957" s="18" t="s">
        <v>684</v>
      </c>
      <c r="J957" s="18" t="s">
        <v>305</v>
      </c>
      <c r="K957" s="21"/>
    </row>
    <row r="958" spans="1:11">
      <c r="A958" s="12">
        <f>_xlfn.AGGREGATE(3,1,$B$6:B956)</f>
        <v>951</v>
      </c>
      <c r="B958" s="13" t="s">
        <v>1333</v>
      </c>
      <c r="C958" s="13" t="s">
        <v>1051</v>
      </c>
      <c r="D958" s="16" t="s">
        <v>1334</v>
      </c>
      <c r="E958" s="13" t="s">
        <v>1335</v>
      </c>
      <c r="F958" s="15">
        <v>45972</v>
      </c>
      <c r="G958" s="13" t="s">
        <v>20</v>
      </c>
      <c r="H958" s="15"/>
      <c r="I958" s="13" t="s">
        <v>304</v>
      </c>
      <c r="J958" s="13" t="s">
        <v>305</v>
      </c>
      <c r="K958" s="16"/>
    </row>
    <row r="959" spans="1:11" ht="28.9">
      <c r="A959" s="17">
        <f>_xlfn.AGGREGATE(3,1,$B$6:B957)</f>
        <v>952</v>
      </c>
      <c r="B959" s="18" t="s">
        <v>1333</v>
      </c>
      <c r="C959" s="18" t="s">
        <v>1051</v>
      </c>
      <c r="D959" s="21" t="s">
        <v>1281</v>
      </c>
      <c r="E959" s="18" t="s">
        <v>1335</v>
      </c>
      <c r="F959" s="20">
        <v>45972</v>
      </c>
      <c r="G959" s="18" t="s">
        <v>77</v>
      </c>
      <c r="H959" s="20"/>
      <c r="I959" s="18" t="s">
        <v>304</v>
      </c>
      <c r="J959" s="18" t="s">
        <v>305</v>
      </c>
      <c r="K959" s="21"/>
    </row>
    <row r="960" spans="1:11" ht="43.15">
      <c r="A960" s="12">
        <f>_xlfn.AGGREGATE(3,1,$B$6:B958)</f>
        <v>953</v>
      </c>
      <c r="B960" s="13" t="s">
        <v>1333</v>
      </c>
      <c r="C960" s="13" t="s">
        <v>998</v>
      </c>
      <c r="D960" s="16" t="s">
        <v>1293</v>
      </c>
      <c r="E960" s="13" t="s">
        <v>1335</v>
      </c>
      <c r="F960" s="15">
        <v>45972</v>
      </c>
      <c r="G960" s="13" t="s">
        <v>20</v>
      </c>
      <c r="H960" s="15"/>
      <c r="I960" s="13" t="s">
        <v>684</v>
      </c>
      <c r="J960" s="13" t="s">
        <v>305</v>
      </c>
      <c r="K960" s="16"/>
    </row>
    <row r="961" spans="1:11" ht="57.6">
      <c r="A961" s="17">
        <f>_xlfn.AGGREGATE(3,1,$B$6:B959)</f>
        <v>954</v>
      </c>
      <c r="B961" s="18" t="s">
        <v>1333</v>
      </c>
      <c r="C961" s="18" t="s">
        <v>1051</v>
      </c>
      <c r="D961" s="21" t="s">
        <v>1336</v>
      </c>
      <c r="E961" s="18" t="s">
        <v>1335</v>
      </c>
      <c r="F961" s="20">
        <v>45972</v>
      </c>
      <c r="G961" s="18" t="s">
        <v>20</v>
      </c>
      <c r="H961" s="20"/>
      <c r="I961" s="18" t="s">
        <v>304</v>
      </c>
      <c r="J961" s="18" t="s">
        <v>305</v>
      </c>
      <c r="K961" s="21"/>
    </row>
    <row r="962" spans="1:11" ht="28.9">
      <c r="A962" s="12">
        <f>_xlfn.AGGREGATE(3,1,$B$6:B960)</f>
        <v>955</v>
      </c>
      <c r="B962" s="13" t="s">
        <v>1333</v>
      </c>
      <c r="C962" s="13" t="s">
        <v>1051</v>
      </c>
      <c r="D962" s="16" t="s">
        <v>1282</v>
      </c>
      <c r="E962" s="13" t="s">
        <v>1335</v>
      </c>
      <c r="F962" s="15">
        <v>45972</v>
      </c>
      <c r="G962" s="13" t="s">
        <v>16</v>
      </c>
      <c r="H962" s="15"/>
      <c r="I962" s="13" t="s">
        <v>304</v>
      </c>
      <c r="J962" s="13" t="s">
        <v>305</v>
      </c>
      <c r="K962" s="16"/>
    </row>
    <row r="963" spans="1:11" ht="28.9">
      <c r="A963" s="17">
        <f>_xlfn.AGGREGATE(3,1,$B$6:B961)</f>
        <v>956</v>
      </c>
      <c r="B963" s="18" t="s">
        <v>1333</v>
      </c>
      <c r="C963" s="18" t="s">
        <v>107</v>
      </c>
      <c r="D963" s="21" t="s">
        <v>1337</v>
      </c>
      <c r="E963" s="18" t="s">
        <v>1335</v>
      </c>
      <c r="F963" s="20">
        <v>45972</v>
      </c>
      <c r="G963" s="18" t="s">
        <v>20</v>
      </c>
      <c r="H963" s="20"/>
      <c r="I963" s="18" t="s">
        <v>304</v>
      </c>
      <c r="J963" s="18" t="s">
        <v>305</v>
      </c>
      <c r="K963" s="21"/>
    </row>
    <row r="964" spans="1:11" ht="28.9">
      <c r="A964" s="12">
        <f>_xlfn.AGGREGATE(3,1,$B$6:B962)</f>
        <v>957</v>
      </c>
      <c r="B964" s="13" t="s">
        <v>1333</v>
      </c>
      <c r="C964" s="13" t="s">
        <v>1048</v>
      </c>
      <c r="D964" s="16" t="s">
        <v>1338</v>
      </c>
      <c r="E964" s="13" t="s">
        <v>1339</v>
      </c>
      <c r="F964" s="15">
        <v>45972</v>
      </c>
      <c r="G964" s="13" t="s">
        <v>77</v>
      </c>
      <c r="H964" s="15"/>
      <c r="I964" s="13" t="s">
        <v>684</v>
      </c>
      <c r="J964" s="13" t="s">
        <v>305</v>
      </c>
      <c r="K964" s="16"/>
    </row>
    <row r="965" spans="1:11">
      <c r="A965" s="17">
        <f>_xlfn.AGGREGATE(3,1,$B$6:B963)</f>
        <v>958</v>
      </c>
      <c r="B965" s="18" t="s">
        <v>1333</v>
      </c>
      <c r="C965" s="18" t="s">
        <v>107</v>
      </c>
      <c r="D965" s="21" t="s">
        <v>1340</v>
      </c>
      <c r="E965" s="18" t="s">
        <v>1339</v>
      </c>
      <c r="F965" s="20">
        <v>45972</v>
      </c>
      <c r="G965" s="18" t="s">
        <v>77</v>
      </c>
      <c r="H965" s="20"/>
      <c r="I965" s="18" t="s">
        <v>304</v>
      </c>
      <c r="J965" s="18" t="s">
        <v>305</v>
      </c>
      <c r="K965" s="21"/>
    </row>
    <row r="966" spans="1:11" ht="43.15">
      <c r="A966" s="12">
        <f>_xlfn.AGGREGATE(3,1,$B$6:B964)</f>
        <v>959</v>
      </c>
      <c r="B966" s="13" t="s">
        <v>1333</v>
      </c>
      <c r="C966" s="13" t="s">
        <v>1051</v>
      </c>
      <c r="D966" s="16" t="s">
        <v>1341</v>
      </c>
      <c r="E966" s="13" t="s">
        <v>1339</v>
      </c>
      <c r="F966" s="15">
        <v>45972</v>
      </c>
      <c r="G966" s="13" t="s">
        <v>16</v>
      </c>
      <c r="H966" s="15"/>
      <c r="I966" s="13" t="s">
        <v>304</v>
      </c>
      <c r="J966" s="13" t="s">
        <v>18</v>
      </c>
      <c r="K966" s="16"/>
    </row>
    <row r="967" spans="1:11" ht="57.6">
      <c r="A967" s="17">
        <f>_xlfn.AGGREGATE(3,1,$B$6:B965)</f>
        <v>960</v>
      </c>
      <c r="B967" s="18" t="s">
        <v>1333</v>
      </c>
      <c r="C967" s="18" t="s">
        <v>1342</v>
      </c>
      <c r="D967" s="21" t="s">
        <v>1279</v>
      </c>
      <c r="E967" s="18" t="s">
        <v>1339</v>
      </c>
      <c r="F967" s="20">
        <v>45972</v>
      </c>
      <c r="G967" s="18" t="s">
        <v>77</v>
      </c>
      <c r="H967" s="20"/>
      <c r="I967" s="18" t="s">
        <v>684</v>
      </c>
      <c r="J967" s="18" t="s">
        <v>305</v>
      </c>
      <c r="K967" s="21"/>
    </row>
    <row r="968" spans="1:11" ht="43.15">
      <c r="A968" s="12">
        <f>_xlfn.AGGREGATE(3,1,$B$6:B966)</f>
        <v>961</v>
      </c>
      <c r="B968" s="13" t="s">
        <v>1333</v>
      </c>
      <c r="C968" s="13" t="s">
        <v>1051</v>
      </c>
      <c r="D968" s="16" t="s">
        <v>1343</v>
      </c>
      <c r="E968" s="13" t="s">
        <v>1339</v>
      </c>
      <c r="F968" s="15">
        <v>45972</v>
      </c>
      <c r="G968" s="13" t="s">
        <v>16</v>
      </c>
      <c r="H968" s="15"/>
      <c r="I968" s="13" t="s">
        <v>304</v>
      </c>
      <c r="J968" s="13" t="s">
        <v>305</v>
      </c>
      <c r="K968" s="16"/>
    </row>
    <row r="969" spans="1:11" ht="28.9">
      <c r="A969" s="17">
        <f>_xlfn.AGGREGATE(3,1,$B$6:B967)</f>
        <v>962</v>
      </c>
      <c r="B969" s="18" t="s">
        <v>1333</v>
      </c>
      <c r="C969" s="18" t="s">
        <v>1051</v>
      </c>
      <c r="D969" s="21" t="s">
        <v>1344</v>
      </c>
      <c r="E969" s="18" t="s">
        <v>1339</v>
      </c>
      <c r="F969" s="20">
        <v>45972</v>
      </c>
      <c r="G969" s="18" t="s">
        <v>16</v>
      </c>
      <c r="H969" s="20"/>
      <c r="I969" s="18" t="s">
        <v>304</v>
      </c>
      <c r="J969" s="18" t="s">
        <v>18</v>
      </c>
      <c r="K969" s="21"/>
    </row>
    <row r="970" spans="1:11" ht="28.9">
      <c r="A970" s="12">
        <f>_xlfn.AGGREGATE(3,1,$B$6:B968)</f>
        <v>963</v>
      </c>
      <c r="B970" s="13" t="s">
        <v>1333</v>
      </c>
      <c r="C970" s="13" t="s">
        <v>1345</v>
      </c>
      <c r="D970" s="16" t="s">
        <v>1346</v>
      </c>
      <c r="E970" s="13" t="s">
        <v>1339</v>
      </c>
      <c r="F970" s="15">
        <v>45972</v>
      </c>
      <c r="G970" s="13" t="s">
        <v>20</v>
      </c>
      <c r="H970" s="15"/>
      <c r="I970" s="13" t="s">
        <v>304</v>
      </c>
      <c r="J970" s="13" t="s">
        <v>18</v>
      </c>
      <c r="K970" s="16"/>
    </row>
    <row r="971" spans="1:11" ht="72">
      <c r="A971" s="17">
        <f>_xlfn.AGGREGATE(3,1,$B$6:B969)</f>
        <v>964</v>
      </c>
      <c r="B971" s="18" t="s">
        <v>1347</v>
      </c>
      <c r="C971" s="18" t="s">
        <v>47</v>
      </c>
      <c r="D971" s="21" t="s">
        <v>1109</v>
      </c>
      <c r="E971" s="18" t="s">
        <v>15</v>
      </c>
      <c r="F971" s="20">
        <v>45974</v>
      </c>
      <c r="G971" s="18" t="s">
        <v>20</v>
      </c>
      <c r="H971" s="20"/>
      <c r="I971" s="18" t="s">
        <v>304</v>
      </c>
      <c r="J971" s="18" t="s">
        <v>18</v>
      </c>
      <c r="K971" s="21"/>
    </row>
    <row r="972" spans="1:11" ht="57.6">
      <c r="A972" s="12">
        <f>_xlfn.AGGREGATE(3,1,$B$6:B970)</f>
        <v>965</v>
      </c>
      <c r="B972" s="13" t="s">
        <v>1347</v>
      </c>
      <c r="C972" s="13" t="s">
        <v>47</v>
      </c>
      <c r="D972" s="16" t="s">
        <v>1348</v>
      </c>
      <c r="E972" s="13" t="s">
        <v>15</v>
      </c>
      <c r="F972" s="15">
        <v>45974</v>
      </c>
      <c r="G972" s="13" t="s">
        <v>20</v>
      </c>
      <c r="H972" s="15"/>
      <c r="I972" s="13" t="s">
        <v>304</v>
      </c>
      <c r="J972" s="13" t="s">
        <v>18</v>
      </c>
      <c r="K972" s="16"/>
    </row>
    <row r="973" spans="1:11" ht="43.15">
      <c r="A973" s="17">
        <f>_xlfn.AGGREGATE(3,1,$B$6:B971)</f>
        <v>966</v>
      </c>
      <c r="B973" s="18" t="s">
        <v>1349</v>
      </c>
      <c r="C973" s="18" t="s">
        <v>1010</v>
      </c>
      <c r="D973" s="21" t="s">
        <v>1232</v>
      </c>
      <c r="E973" s="18" t="s">
        <v>1053</v>
      </c>
      <c r="F973" s="20">
        <v>45979</v>
      </c>
      <c r="G973" s="18" t="s">
        <v>16</v>
      </c>
      <c r="H973" s="20"/>
      <c r="I973" s="18" t="s">
        <v>684</v>
      </c>
      <c r="J973" s="18" t="s">
        <v>305</v>
      </c>
      <c r="K973" s="21"/>
    </row>
    <row r="974" spans="1:11" ht="28.9">
      <c r="A974" s="12">
        <f>_xlfn.AGGREGATE(3,1,$B$6:B972)</f>
        <v>967</v>
      </c>
      <c r="B974" s="13" t="s">
        <v>1349</v>
      </c>
      <c r="C974" s="13" t="s">
        <v>1010</v>
      </c>
      <c r="D974" s="16" t="s">
        <v>1289</v>
      </c>
      <c r="E974" s="13" t="s">
        <v>1053</v>
      </c>
      <c r="F974" s="15">
        <v>45979</v>
      </c>
      <c r="G974" s="13" t="s">
        <v>16</v>
      </c>
      <c r="H974" s="15"/>
      <c r="I974" s="13" t="s">
        <v>684</v>
      </c>
      <c r="J974" s="13" t="s">
        <v>305</v>
      </c>
      <c r="K974" s="16"/>
    </row>
    <row r="975" spans="1:11">
      <c r="A975" s="17">
        <f>_xlfn.AGGREGATE(3,1,$B$6:B973)</f>
        <v>968</v>
      </c>
      <c r="B975" s="18" t="s">
        <v>1349</v>
      </c>
      <c r="C975" s="18" t="s">
        <v>107</v>
      </c>
      <c r="D975" s="21" t="s">
        <v>1340</v>
      </c>
      <c r="E975" s="18" t="s">
        <v>1053</v>
      </c>
      <c r="F975" s="20">
        <v>45979</v>
      </c>
      <c r="G975" s="18" t="s">
        <v>77</v>
      </c>
      <c r="H975" s="20"/>
      <c r="I975" s="18" t="s">
        <v>304</v>
      </c>
      <c r="J975" s="18" t="s">
        <v>305</v>
      </c>
      <c r="K975" s="21"/>
    </row>
    <row r="976" spans="1:11">
      <c r="A976" s="12">
        <f>_xlfn.AGGREGATE(3,1,$B$6:B974)</f>
        <v>969</v>
      </c>
      <c r="B976" s="13" t="s">
        <v>1349</v>
      </c>
      <c r="C976" s="13" t="s">
        <v>107</v>
      </c>
      <c r="D976" s="16" t="s">
        <v>1280</v>
      </c>
      <c r="E976" s="13" t="s">
        <v>1053</v>
      </c>
      <c r="F976" s="15">
        <v>45979</v>
      </c>
      <c r="G976" s="13" t="s">
        <v>20</v>
      </c>
      <c r="H976" s="15"/>
      <c r="I976" s="13" t="s">
        <v>304</v>
      </c>
      <c r="J976" s="13" t="s">
        <v>305</v>
      </c>
      <c r="K976" s="16"/>
    </row>
    <row r="977" spans="1:11">
      <c r="A977" s="17">
        <f>_xlfn.AGGREGATE(3,1,$B$6:B975)</f>
        <v>970</v>
      </c>
      <c r="B977" s="18" t="s">
        <v>1349</v>
      </c>
      <c r="C977" s="18" t="s">
        <v>1051</v>
      </c>
      <c r="D977" s="21" t="s">
        <v>1221</v>
      </c>
      <c r="E977" s="18" t="s">
        <v>1285</v>
      </c>
      <c r="F977" s="20">
        <v>45979</v>
      </c>
      <c r="G977" s="18" t="s">
        <v>20</v>
      </c>
      <c r="H977" s="20"/>
      <c r="I977" s="18" t="s">
        <v>304</v>
      </c>
      <c r="J977" s="18" t="s">
        <v>305</v>
      </c>
      <c r="K977" s="21"/>
    </row>
    <row r="978" spans="1:11">
      <c r="A978" s="12"/>
      <c r="B978" s="13"/>
      <c r="C978" s="13"/>
      <c r="D978" s="16"/>
      <c r="E978" s="13"/>
      <c r="F978" s="15"/>
      <c r="G978" s="13"/>
      <c r="H978" s="15"/>
      <c r="I978" s="13"/>
      <c r="J978" s="13"/>
      <c r="K978" s="16"/>
    </row>
    <row r="979" spans="1:11" ht="28.9">
      <c r="A979" s="17">
        <f>_xlfn.AGGREGATE(3,1,$B$6:B977)</f>
        <v>972</v>
      </c>
      <c r="B979" s="18" t="s">
        <v>1349</v>
      </c>
      <c r="C979" s="18" t="s">
        <v>1051</v>
      </c>
      <c r="D979" s="21" t="s">
        <v>1287</v>
      </c>
      <c r="E979" s="18" t="s">
        <v>1285</v>
      </c>
      <c r="F979" s="20">
        <v>45979</v>
      </c>
      <c r="G979" s="18" t="s">
        <v>20</v>
      </c>
      <c r="H979" s="20"/>
      <c r="I979" s="18" t="s">
        <v>304</v>
      </c>
      <c r="J979" s="18" t="s">
        <v>305</v>
      </c>
      <c r="K979" s="21"/>
    </row>
    <row r="980" spans="1:11" ht="43.15">
      <c r="A980" s="12">
        <f>_xlfn.AGGREGATE(3,1,$B$6:B978)</f>
        <v>972</v>
      </c>
      <c r="B980" s="13" t="s">
        <v>1349</v>
      </c>
      <c r="C980" s="13" t="s">
        <v>107</v>
      </c>
      <c r="D980" s="16" t="s">
        <v>1350</v>
      </c>
      <c r="E980" s="13" t="s">
        <v>1285</v>
      </c>
      <c r="F980" s="15">
        <v>45979</v>
      </c>
      <c r="G980" s="13" t="s">
        <v>16</v>
      </c>
      <c r="H980" s="15"/>
      <c r="I980" s="13" t="s">
        <v>304</v>
      </c>
      <c r="J980" s="13" t="s">
        <v>305</v>
      </c>
      <c r="K980" s="16"/>
    </row>
    <row r="981" spans="1:11" ht="28.9">
      <c r="A981" s="17">
        <f>_xlfn.AGGREGATE(3,1,$B$6:B979)</f>
        <v>973</v>
      </c>
      <c r="B981" s="18" t="s">
        <v>1349</v>
      </c>
      <c r="C981" s="18" t="s">
        <v>107</v>
      </c>
      <c r="D981" s="21" t="s">
        <v>1282</v>
      </c>
      <c r="E981" s="18" t="s">
        <v>1285</v>
      </c>
      <c r="F981" s="20">
        <v>45979</v>
      </c>
      <c r="G981" s="18" t="s">
        <v>16</v>
      </c>
      <c r="H981" s="20"/>
      <c r="I981" s="18" t="s">
        <v>304</v>
      </c>
      <c r="J981" s="18" t="s">
        <v>305</v>
      </c>
      <c r="K981" s="21"/>
    </row>
    <row r="982" spans="1:11">
      <c r="A982" s="12"/>
      <c r="B982" s="13"/>
      <c r="C982" s="13"/>
      <c r="D982" s="16"/>
      <c r="E982" s="13"/>
      <c r="F982" s="15"/>
      <c r="G982" s="13"/>
      <c r="H982" s="15"/>
      <c r="I982" s="13"/>
      <c r="J982" s="13"/>
      <c r="K982" s="16"/>
    </row>
    <row r="983" spans="1:11">
      <c r="A983" s="17">
        <f>_xlfn.AGGREGATE(3,1,$B$6:B981)</f>
        <v>975</v>
      </c>
      <c r="B983" s="18" t="s">
        <v>1349</v>
      </c>
      <c r="C983" s="18" t="s">
        <v>1051</v>
      </c>
      <c r="D983" s="21" t="s">
        <v>1334</v>
      </c>
      <c r="E983" s="18" t="s">
        <v>1190</v>
      </c>
      <c r="F983" s="20">
        <v>45979</v>
      </c>
      <c r="G983" s="18" t="s">
        <v>20</v>
      </c>
      <c r="H983" s="20"/>
      <c r="I983" s="18" t="s">
        <v>304</v>
      </c>
      <c r="J983" s="18" t="s">
        <v>305</v>
      </c>
      <c r="K983" s="21"/>
    </row>
    <row r="984" spans="1:11" ht="28.9">
      <c r="A984" s="12">
        <f>_xlfn.AGGREGATE(3,1,$B$6:B982)</f>
        <v>975</v>
      </c>
      <c r="B984" s="13" t="s">
        <v>1349</v>
      </c>
      <c r="C984" s="13" t="s">
        <v>1051</v>
      </c>
      <c r="D984" s="16" t="s">
        <v>1351</v>
      </c>
      <c r="E984" s="13" t="s">
        <v>1190</v>
      </c>
      <c r="F984" s="15">
        <v>45979</v>
      </c>
      <c r="G984" s="13" t="s">
        <v>20</v>
      </c>
      <c r="H984" s="15"/>
      <c r="I984" s="13" t="s">
        <v>304</v>
      </c>
      <c r="J984" s="13" t="s">
        <v>305</v>
      </c>
      <c r="K984" s="16"/>
    </row>
    <row r="985" spans="1:11" ht="28.9">
      <c r="A985" s="17">
        <f>_xlfn.AGGREGATE(3,1,$B$6:B983)</f>
        <v>976</v>
      </c>
      <c r="B985" s="18" t="s">
        <v>1349</v>
      </c>
      <c r="C985" s="18" t="s">
        <v>1352</v>
      </c>
      <c r="D985" s="21" t="s">
        <v>1198</v>
      </c>
      <c r="E985" s="18" t="s">
        <v>1190</v>
      </c>
      <c r="F985" s="20">
        <v>45979</v>
      </c>
      <c r="G985" s="18" t="s">
        <v>16</v>
      </c>
      <c r="H985" s="20"/>
      <c r="I985" s="18" t="s">
        <v>304</v>
      </c>
      <c r="J985" s="18" t="s">
        <v>305</v>
      </c>
      <c r="K985" s="21"/>
    </row>
    <row r="986" spans="1:11" ht="28.9">
      <c r="A986" s="12">
        <f>_xlfn.AGGREGATE(3,1,$B$6:B984)</f>
        <v>977</v>
      </c>
      <c r="B986" s="13" t="s">
        <v>1349</v>
      </c>
      <c r="C986" s="13" t="s">
        <v>1051</v>
      </c>
      <c r="D986" s="16" t="s">
        <v>1198</v>
      </c>
      <c r="E986" s="13" t="s">
        <v>1190</v>
      </c>
      <c r="F986" s="15">
        <v>45979</v>
      </c>
      <c r="G986" s="13" t="s">
        <v>20</v>
      </c>
      <c r="H986" s="15"/>
      <c r="I986" s="13" t="s">
        <v>304</v>
      </c>
      <c r="J986" s="13" t="s">
        <v>305</v>
      </c>
      <c r="K986" s="16"/>
    </row>
    <row r="987" spans="1:11" ht="30.75">
      <c r="A987" s="17">
        <f>_xlfn.AGGREGATE(3,1,$B$6:B985)</f>
        <v>978</v>
      </c>
      <c r="B987" s="18" t="s">
        <v>1349</v>
      </c>
      <c r="C987" s="18" t="s">
        <v>107</v>
      </c>
      <c r="D987" s="21" t="s">
        <v>1282</v>
      </c>
      <c r="E987" s="18" t="s">
        <v>1092</v>
      </c>
      <c r="F987" s="20">
        <v>45979</v>
      </c>
      <c r="G987" s="18" t="s">
        <v>16</v>
      </c>
      <c r="H987" s="20"/>
      <c r="I987" s="18" t="s">
        <v>304</v>
      </c>
      <c r="J987" s="18" t="s">
        <v>18</v>
      </c>
      <c r="K987" s="21"/>
    </row>
    <row r="988" spans="1:11" ht="43.15">
      <c r="A988" s="12">
        <f>_xlfn.AGGREGATE(3,1,$B$6:B986)</f>
        <v>979</v>
      </c>
      <c r="B988" s="13" t="s">
        <v>1349</v>
      </c>
      <c r="C988" s="13" t="s">
        <v>1106</v>
      </c>
      <c r="D988" s="16" t="s">
        <v>1232</v>
      </c>
      <c r="E988" s="13" t="s">
        <v>1092</v>
      </c>
      <c r="F988" s="15">
        <v>45979</v>
      </c>
      <c r="G988" s="13" t="s">
        <v>16</v>
      </c>
      <c r="H988" s="15"/>
      <c r="I988" s="13" t="s">
        <v>684</v>
      </c>
      <c r="J988" s="13" t="s">
        <v>305</v>
      </c>
      <c r="K988" s="16"/>
    </row>
    <row r="989" spans="1:11" ht="57.6">
      <c r="A989" s="17">
        <f>_xlfn.AGGREGATE(3,1,$B$6:B987)</f>
        <v>980</v>
      </c>
      <c r="B989" s="18" t="s">
        <v>1349</v>
      </c>
      <c r="C989" s="18" t="s">
        <v>1106</v>
      </c>
      <c r="D989" s="21" t="s">
        <v>1279</v>
      </c>
      <c r="E989" s="18" t="s">
        <v>1092</v>
      </c>
      <c r="F989" s="20">
        <v>45979</v>
      </c>
      <c r="G989" s="18" t="s">
        <v>77</v>
      </c>
      <c r="H989" s="20"/>
      <c r="I989" s="18" t="s">
        <v>684</v>
      </c>
      <c r="J989" s="18" t="s">
        <v>305</v>
      </c>
      <c r="K989" s="21"/>
    </row>
    <row r="990" spans="1:11" ht="43.15">
      <c r="A990" s="12">
        <f>_xlfn.AGGREGATE(3,1,$B$6:B988)</f>
        <v>981</v>
      </c>
      <c r="B990" s="13" t="s">
        <v>1349</v>
      </c>
      <c r="C990" s="13" t="s">
        <v>1051</v>
      </c>
      <c r="D990" s="16" t="s">
        <v>1208</v>
      </c>
      <c r="E990" s="13" t="s">
        <v>388</v>
      </c>
      <c r="F990" s="15">
        <v>45979</v>
      </c>
      <c r="G990" s="13" t="s">
        <v>20</v>
      </c>
      <c r="H990" s="15"/>
      <c r="I990" s="13" t="s">
        <v>304</v>
      </c>
      <c r="J990" s="13" t="s">
        <v>305</v>
      </c>
      <c r="K990" s="16"/>
    </row>
    <row r="991" spans="1:11" ht="43.15">
      <c r="A991" s="17">
        <f>_xlfn.AGGREGATE(3,1,$B$6:B989)</f>
        <v>982</v>
      </c>
      <c r="B991" s="18" t="s">
        <v>1349</v>
      </c>
      <c r="C991" s="18" t="s">
        <v>1051</v>
      </c>
      <c r="D991" s="21" t="s">
        <v>1207</v>
      </c>
      <c r="E991" s="18" t="s">
        <v>388</v>
      </c>
      <c r="F991" s="20">
        <v>45979</v>
      </c>
      <c r="G991" s="18" t="s">
        <v>16</v>
      </c>
      <c r="H991" s="20"/>
      <c r="I991" s="18" t="s">
        <v>304</v>
      </c>
      <c r="J991" s="18" t="s">
        <v>305</v>
      </c>
      <c r="K991" s="21"/>
    </row>
    <row r="992" spans="1:11" ht="72">
      <c r="A992" s="12">
        <f>_xlfn.AGGREGATE(3,1,$B$6:B990)</f>
        <v>983</v>
      </c>
      <c r="B992" s="13" t="s">
        <v>1353</v>
      </c>
      <c r="C992" s="13" t="s">
        <v>104</v>
      </c>
      <c r="D992" s="16" t="s">
        <v>1354</v>
      </c>
      <c r="E992" s="13" t="s">
        <v>401</v>
      </c>
      <c r="F992" s="15">
        <v>45980</v>
      </c>
      <c r="G992" s="13" t="s">
        <v>16</v>
      </c>
      <c r="H992" s="15"/>
      <c r="I992" s="13" t="s">
        <v>304</v>
      </c>
      <c r="J992" s="13" t="s">
        <v>305</v>
      </c>
      <c r="K992" s="16"/>
    </row>
    <row r="993" spans="1:11" ht="144">
      <c r="A993" s="17">
        <f>_xlfn.AGGREGATE(3,1,$B$6:B991)</f>
        <v>984</v>
      </c>
      <c r="B993" s="18" t="s">
        <v>1353</v>
      </c>
      <c r="C993" s="18" t="s">
        <v>1112</v>
      </c>
      <c r="D993" s="21" t="s">
        <v>1355</v>
      </c>
      <c r="E993" s="18" t="s">
        <v>1272</v>
      </c>
      <c r="F993" s="20">
        <v>45980</v>
      </c>
      <c r="G993" s="18" t="s">
        <v>20</v>
      </c>
      <c r="H993" s="20"/>
      <c r="I993" s="18" t="s">
        <v>684</v>
      </c>
      <c r="J993" s="18" t="s">
        <v>305</v>
      </c>
      <c r="K993" s="21"/>
    </row>
    <row r="994" spans="1:11" ht="86.45">
      <c r="A994" s="12">
        <f>_xlfn.AGGREGATE(3,1,$B$6:B992)</f>
        <v>985</v>
      </c>
      <c r="B994" s="13" t="s">
        <v>1353</v>
      </c>
      <c r="C994" s="13" t="s">
        <v>945</v>
      </c>
      <c r="D994" s="16" t="s">
        <v>1356</v>
      </c>
      <c r="E994" s="13" t="s">
        <v>1225</v>
      </c>
      <c r="F994" s="15">
        <v>45980</v>
      </c>
      <c r="G994" s="13" t="s">
        <v>16</v>
      </c>
      <c r="H994" s="15"/>
      <c r="I994" s="13" t="s">
        <v>684</v>
      </c>
      <c r="J994" s="13" t="s">
        <v>305</v>
      </c>
      <c r="K994" s="16"/>
    </row>
    <row r="995" spans="1:11" ht="129.6">
      <c r="A995" s="17">
        <f>_xlfn.AGGREGATE(3,1,$B$6:B993)</f>
        <v>986</v>
      </c>
      <c r="B995" s="18" t="s">
        <v>1353</v>
      </c>
      <c r="C995" s="18" t="s">
        <v>945</v>
      </c>
      <c r="D995" s="21" t="s">
        <v>1357</v>
      </c>
      <c r="E995" s="18" t="s">
        <v>1225</v>
      </c>
      <c r="F995" s="20">
        <v>45980</v>
      </c>
      <c r="G995" s="18" t="s">
        <v>16</v>
      </c>
      <c r="H995" s="20"/>
      <c r="I995" s="18" t="s">
        <v>684</v>
      </c>
      <c r="J995" s="18" t="s">
        <v>305</v>
      </c>
      <c r="K995" s="21"/>
    </row>
    <row r="996" spans="1:11" ht="57.6">
      <c r="A996" s="12">
        <f>_xlfn.AGGREGATE(3,1,$B$6:B994)</f>
        <v>987</v>
      </c>
      <c r="B996" s="13" t="s">
        <v>1353</v>
      </c>
      <c r="C996" s="13" t="s">
        <v>104</v>
      </c>
      <c r="D996" s="16" t="s">
        <v>1358</v>
      </c>
      <c r="E996" s="13" t="s">
        <v>1225</v>
      </c>
      <c r="F996" s="15">
        <v>45980</v>
      </c>
      <c r="G996" s="13" t="s">
        <v>20</v>
      </c>
      <c r="H996" s="15"/>
      <c r="I996" s="13" t="s">
        <v>304</v>
      </c>
      <c r="J996" s="13" t="s">
        <v>305</v>
      </c>
      <c r="K996" s="16"/>
    </row>
    <row r="997" spans="1:11" ht="144">
      <c r="A997" s="17">
        <f>_xlfn.AGGREGATE(3,1,$B$6:B995)</f>
        <v>988</v>
      </c>
      <c r="B997" s="18" t="s">
        <v>1353</v>
      </c>
      <c r="C997" s="18" t="s">
        <v>47</v>
      </c>
      <c r="D997" s="21" t="s">
        <v>1359</v>
      </c>
      <c r="E997" s="18" t="s">
        <v>1360</v>
      </c>
      <c r="F997" s="20">
        <v>45980</v>
      </c>
      <c r="G997" s="18" t="s">
        <v>20</v>
      </c>
      <c r="H997" s="20"/>
      <c r="I997" s="18" t="s">
        <v>304</v>
      </c>
      <c r="J997" s="18" t="s">
        <v>305</v>
      </c>
      <c r="K997" s="21"/>
    </row>
    <row r="998" spans="1:11" ht="28.9">
      <c r="A998" s="12">
        <f>_xlfn.AGGREGATE(3,1,$B$6:B996)</f>
        <v>989</v>
      </c>
      <c r="B998" s="13" t="s">
        <v>1361</v>
      </c>
      <c r="C998" s="13" t="s">
        <v>920</v>
      </c>
      <c r="D998" s="16" t="s">
        <v>1338</v>
      </c>
      <c r="E998" s="13" t="s">
        <v>970</v>
      </c>
      <c r="F998" s="15">
        <v>45980</v>
      </c>
      <c r="G998" s="13" t="s">
        <v>77</v>
      </c>
      <c r="H998" s="15"/>
      <c r="I998" s="13" t="s">
        <v>684</v>
      </c>
      <c r="J998" s="13" t="s">
        <v>305</v>
      </c>
      <c r="K998" s="16"/>
    </row>
    <row r="999" spans="1:11" ht="43.15">
      <c r="A999" s="17">
        <f>_xlfn.AGGREGATE(3,1,$B$6:B997)</f>
        <v>990</v>
      </c>
      <c r="B999" s="18" t="s">
        <v>1361</v>
      </c>
      <c r="C999" s="18" t="s">
        <v>920</v>
      </c>
      <c r="D999" s="21" t="s">
        <v>1362</v>
      </c>
      <c r="E999" s="18" t="s">
        <v>970</v>
      </c>
      <c r="F999" s="20">
        <v>45980</v>
      </c>
      <c r="G999" s="18" t="s">
        <v>20</v>
      </c>
      <c r="H999" s="20"/>
      <c r="I999" s="18" t="s">
        <v>684</v>
      </c>
      <c r="J999" s="18" t="s">
        <v>305</v>
      </c>
      <c r="K999" s="21"/>
    </row>
    <row r="1000" spans="1:11" ht="28.9">
      <c r="A1000" s="12">
        <f>_xlfn.AGGREGATE(3,1,$B$6:B998)</f>
        <v>991</v>
      </c>
      <c r="B1000" s="13" t="s">
        <v>1361</v>
      </c>
      <c r="C1000" s="13" t="s">
        <v>107</v>
      </c>
      <c r="D1000" s="16" t="s">
        <v>1363</v>
      </c>
      <c r="E1000" s="13" t="s">
        <v>970</v>
      </c>
      <c r="F1000" s="15">
        <v>45980</v>
      </c>
      <c r="G1000" s="13" t="s">
        <v>77</v>
      </c>
      <c r="H1000" s="15"/>
      <c r="I1000" s="13" t="s">
        <v>304</v>
      </c>
      <c r="J1000" s="13" t="s">
        <v>18</v>
      </c>
      <c r="K1000" s="16"/>
    </row>
    <row r="1001" spans="1:11">
      <c r="A1001" s="17">
        <f>_xlfn.AGGREGATE(3,1,$B$6:B999)</f>
        <v>992</v>
      </c>
      <c r="B1001" s="18" t="s">
        <v>1361</v>
      </c>
      <c r="C1001" s="18" t="s">
        <v>107</v>
      </c>
      <c r="D1001" s="21" t="s">
        <v>1364</v>
      </c>
      <c r="E1001" s="18" t="s">
        <v>970</v>
      </c>
      <c r="F1001" s="20">
        <v>45980</v>
      </c>
      <c r="G1001" s="18" t="s">
        <v>16</v>
      </c>
      <c r="H1001" s="20"/>
      <c r="I1001" s="18" t="s">
        <v>304</v>
      </c>
      <c r="J1001" s="18" t="s">
        <v>305</v>
      </c>
      <c r="K1001" s="21"/>
    </row>
    <row r="1002" spans="1:11">
      <c r="A1002" s="12">
        <f>_xlfn.AGGREGATE(3,1,$B$6:B1000)</f>
        <v>993</v>
      </c>
      <c r="B1002" s="13" t="s">
        <v>1361</v>
      </c>
      <c r="C1002" s="13" t="s">
        <v>1051</v>
      </c>
      <c r="D1002" s="16" t="s">
        <v>1221</v>
      </c>
      <c r="E1002" s="13" t="s">
        <v>970</v>
      </c>
      <c r="F1002" s="15">
        <v>45980</v>
      </c>
      <c r="G1002" s="13" t="s">
        <v>20</v>
      </c>
      <c r="H1002" s="15"/>
      <c r="I1002" s="13" t="s">
        <v>304</v>
      </c>
      <c r="J1002" s="13" t="s">
        <v>18</v>
      </c>
      <c r="K1002" s="16"/>
    </row>
    <row r="1003" spans="1:11" ht="28.9">
      <c r="A1003" s="17">
        <f>_xlfn.AGGREGATE(3,1,$B$6:B1001)</f>
        <v>994</v>
      </c>
      <c r="B1003" s="18" t="s">
        <v>1361</v>
      </c>
      <c r="C1003" s="18" t="s">
        <v>1136</v>
      </c>
      <c r="D1003" s="21" t="s">
        <v>1289</v>
      </c>
      <c r="E1003" s="18" t="s">
        <v>36</v>
      </c>
      <c r="F1003" s="20">
        <v>45980</v>
      </c>
      <c r="G1003" s="18" t="s">
        <v>16</v>
      </c>
      <c r="H1003" s="20"/>
      <c r="I1003" s="18" t="s">
        <v>684</v>
      </c>
      <c r="J1003" s="18" t="s">
        <v>305</v>
      </c>
      <c r="K1003" s="21"/>
    </row>
    <row r="1004" spans="1:11" ht="57.6">
      <c r="A1004" s="12">
        <f>_xlfn.AGGREGATE(3,1,$B$6:B1002)</f>
        <v>995</v>
      </c>
      <c r="B1004" s="13" t="s">
        <v>1361</v>
      </c>
      <c r="C1004" s="13" t="s">
        <v>1051</v>
      </c>
      <c r="D1004" s="16" t="s">
        <v>1229</v>
      </c>
      <c r="E1004" s="13" t="s">
        <v>36</v>
      </c>
      <c r="F1004" s="15">
        <v>45980</v>
      </c>
      <c r="G1004" s="13" t="s">
        <v>16</v>
      </c>
      <c r="H1004" s="15"/>
      <c r="I1004" s="13" t="s">
        <v>304</v>
      </c>
      <c r="J1004" s="13" t="s">
        <v>305</v>
      </c>
      <c r="K1004" s="16"/>
    </row>
    <row r="1005" spans="1:11" ht="28.9">
      <c r="A1005" s="17">
        <f>_xlfn.AGGREGATE(3,1,$B$6:B1003)</f>
        <v>996</v>
      </c>
      <c r="B1005" s="18" t="s">
        <v>1361</v>
      </c>
      <c r="C1005" s="18" t="s">
        <v>1051</v>
      </c>
      <c r="D1005" s="21" t="s">
        <v>1233</v>
      </c>
      <c r="E1005" s="18" t="s">
        <v>36</v>
      </c>
      <c r="F1005" s="20">
        <v>45980</v>
      </c>
      <c r="G1005" s="18" t="s">
        <v>20</v>
      </c>
      <c r="H1005" s="20"/>
      <c r="I1005" s="18" t="s">
        <v>304</v>
      </c>
      <c r="J1005" s="18" t="s">
        <v>305</v>
      </c>
      <c r="K1005" s="21"/>
    </row>
    <row r="1006" spans="1:11" ht="28.9">
      <c r="A1006" s="12">
        <f>_xlfn.AGGREGATE(3,1,$B$6:B1004)</f>
        <v>997</v>
      </c>
      <c r="B1006" s="13" t="s">
        <v>1361</v>
      </c>
      <c r="C1006" s="13" t="s">
        <v>107</v>
      </c>
      <c r="D1006" s="16" t="s">
        <v>1204</v>
      </c>
      <c r="E1006" s="13" t="s">
        <v>36</v>
      </c>
      <c r="F1006" s="15">
        <v>45980</v>
      </c>
      <c r="G1006" s="13" t="s">
        <v>16</v>
      </c>
      <c r="H1006" s="15"/>
      <c r="I1006" s="13" t="s">
        <v>304</v>
      </c>
      <c r="J1006" s="13" t="s">
        <v>305</v>
      </c>
      <c r="K1006" s="16"/>
    </row>
    <row r="1007" spans="1:11" ht="28.9">
      <c r="A1007" s="17">
        <f>_xlfn.AGGREGATE(3,1,$B$6:B1005)</f>
        <v>998</v>
      </c>
      <c r="B1007" s="18" t="s">
        <v>1361</v>
      </c>
      <c r="C1007" s="18" t="s">
        <v>1136</v>
      </c>
      <c r="D1007" s="21" t="s">
        <v>1289</v>
      </c>
      <c r="E1007" s="18" t="s">
        <v>742</v>
      </c>
      <c r="F1007" s="20">
        <v>45980</v>
      </c>
      <c r="G1007" s="18" t="s">
        <v>16</v>
      </c>
      <c r="H1007" s="20"/>
      <c r="I1007" s="18" t="s">
        <v>684</v>
      </c>
      <c r="J1007" s="18" t="s">
        <v>305</v>
      </c>
      <c r="K1007" s="21"/>
    </row>
    <row r="1008" spans="1:11" ht="57.6">
      <c r="A1008" s="12">
        <f>_xlfn.AGGREGATE(3,1,$B$6:B1006)</f>
        <v>999</v>
      </c>
      <c r="B1008" s="13" t="s">
        <v>1361</v>
      </c>
      <c r="C1008" s="13" t="s">
        <v>1051</v>
      </c>
      <c r="D1008" s="16" t="s">
        <v>1336</v>
      </c>
      <c r="E1008" s="13" t="s">
        <v>742</v>
      </c>
      <c r="F1008" s="15">
        <v>45980</v>
      </c>
      <c r="G1008" s="13" t="s">
        <v>20</v>
      </c>
      <c r="H1008" s="15"/>
      <c r="I1008" s="13" t="s">
        <v>304</v>
      </c>
      <c r="J1008" s="13" t="s">
        <v>305</v>
      </c>
      <c r="K1008" s="16"/>
    </row>
    <row r="1009" spans="1:11" ht="43.15">
      <c r="A1009" s="17">
        <f>_xlfn.AGGREGATE(3,1,$B$6:B1007)</f>
        <v>1000</v>
      </c>
      <c r="B1009" s="18" t="s">
        <v>1361</v>
      </c>
      <c r="C1009" s="18" t="s">
        <v>1051</v>
      </c>
      <c r="D1009" s="21" t="s">
        <v>1365</v>
      </c>
      <c r="E1009" s="18" t="s">
        <v>742</v>
      </c>
      <c r="F1009" s="20">
        <v>45980</v>
      </c>
      <c r="G1009" s="18" t="s">
        <v>20</v>
      </c>
      <c r="H1009" s="20"/>
      <c r="I1009" s="18" t="s">
        <v>304</v>
      </c>
      <c r="J1009" s="18" t="s">
        <v>305</v>
      </c>
      <c r="K1009" s="21"/>
    </row>
    <row r="1010" spans="1:11" ht="28.9">
      <c r="A1010" s="12">
        <f>_xlfn.AGGREGATE(3,1,$B$6:B1008)</f>
        <v>1001</v>
      </c>
      <c r="B1010" s="13" t="s">
        <v>1361</v>
      </c>
      <c r="C1010" s="13" t="s">
        <v>1051</v>
      </c>
      <c r="D1010" s="16" t="s">
        <v>1366</v>
      </c>
      <c r="E1010" s="13" t="s">
        <v>742</v>
      </c>
      <c r="F1010" s="15">
        <v>45980</v>
      </c>
      <c r="G1010" s="13" t="s">
        <v>20</v>
      </c>
      <c r="H1010" s="15"/>
      <c r="I1010" s="13" t="s">
        <v>304</v>
      </c>
      <c r="J1010" s="13" t="s">
        <v>18</v>
      </c>
      <c r="K1010" s="16"/>
    </row>
    <row r="1011" spans="1:11" ht="28.9">
      <c r="A1011" s="17">
        <f>_xlfn.AGGREGATE(3,1,$B$6:B1009)</f>
        <v>1002</v>
      </c>
      <c r="B1011" s="18" t="s">
        <v>1361</v>
      </c>
      <c r="C1011" s="18" t="s">
        <v>1051</v>
      </c>
      <c r="D1011" s="21" t="s">
        <v>1240</v>
      </c>
      <c r="E1011" s="18" t="s">
        <v>742</v>
      </c>
      <c r="F1011" s="20">
        <v>45980</v>
      </c>
      <c r="G1011" s="18" t="s">
        <v>16</v>
      </c>
      <c r="H1011" s="20"/>
      <c r="I1011" s="18" t="s">
        <v>304</v>
      </c>
      <c r="J1011" s="18" t="s">
        <v>305</v>
      </c>
      <c r="K1011" s="21"/>
    </row>
    <row r="1012" spans="1:11" ht="30.75">
      <c r="A1012" s="12">
        <f>_xlfn.AGGREGATE(3,1,$B$6:B1010)</f>
        <v>1003</v>
      </c>
      <c r="B1012" s="13" t="s">
        <v>1361</v>
      </c>
      <c r="C1012" s="13" t="s">
        <v>107</v>
      </c>
      <c r="D1012" s="16" t="s">
        <v>1204</v>
      </c>
      <c r="E1012" s="13" t="s">
        <v>742</v>
      </c>
      <c r="F1012" s="15">
        <v>45980</v>
      </c>
      <c r="G1012" s="13" t="s">
        <v>16</v>
      </c>
      <c r="H1012" s="15"/>
      <c r="I1012" s="13" t="s">
        <v>304</v>
      </c>
      <c r="J1012" s="13" t="s">
        <v>18</v>
      </c>
      <c r="K1012" s="16"/>
    </row>
    <row r="1013" spans="1:11" ht="28.9">
      <c r="A1013" s="17">
        <f>_xlfn.AGGREGATE(3,1,$B$6:B1011)</f>
        <v>1004</v>
      </c>
      <c r="B1013" s="18" t="s">
        <v>1361</v>
      </c>
      <c r="C1013" s="18" t="s">
        <v>1051</v>
      </c>
      <c r="D1013" s="21" t="s">
        <v>1367</v>
      </c>
      <c r="E1013" s="18" t="s">
        <v>1081</v>
      </c>
      <c r="F1013" s="20">
        <v>45980</v>
      </c>
      <c r="G1013" s="18" t="s">
        <v>20</v>
      </c>
      <c r="H1013" s="20"/>
      <c r="I1013" s="18" t="s">
        <v>304</v>
      </c>
      <c r="J1013" s="18" t="s">
        <v>18</v>
      </c>
      <c r="K1013" s="21"/>
    </row>
    <row r="1014" spans="1:11" ht="28.9">
      <c r="A1014" s="12">
        <f>_xlfn.AGGREGATE(3,1,$B$6:B1012)</f>
        <v>1005</v>
      </c>
      <c r="B1014" s="13" t="s">
        <v>1361</v>
      </c>
      <c r="C1014" s="13" t="s">
        <v>927</v>
      </c>
      <c r="D1014" s="16" t="s">
        <v>1289</v>
      </c>
      <c r="E1014" s="13" t="s">
        <v>1239</v>
      </c>
      <c r="F1014" s="15">
        <v>45980</v>
      </c>
      <c r="G1014" s="13" t="s">
        <v>16</v>
      </c>
      <c r="H1014" s="15"/>
      <c r="I1014" s="13" t="s">
        <v>684</v>
      </c>
      <c r="J1014" s="13" t="s">
        <v>305</v>
      </c>
      <c r="K1014" s="16"/>
    </row>
    <row r="1015" spans="1:11" ht="28.9">
      <c r="A1015" s="17">
        <f>_xlfn.AGGREGATE(3,1,$B$6:B1013)</f>
        <v>1006</v>
      </c>
      <c r="B1015" s="18" t="s">
        <v>1361</v>
      </c>
      <c r="C1015" s="18" t="s">
        <v>1051</v>
      </c>
      <c r="D1015" s="21" t="s">
        <v>1240</v>
      </c>
      <c r="E1015" s="18" t="s">
        <v>1239</v>
      </c>
      <c r="F1015" s="20">
        <v>45980</v>
      </c>
      <c r="G1015" s="18" t="s">
        <v>16</v>
      </c>
      <c r="H1015" s="20"/>
      <c r="I1015" s="18" t="s">
        <v>304</v>
      </c>
      <c r="J1015" s="18" t="s">
        <v>305</v>
      </c>
      <c r="K1015" s="21"/>
    </row>
    <row r="1016" spans="1:11" ht="28.9">
      <c r="A1016" s="12">
        <f>_xlfn.AGGREGATE(3,1,$B$6:B1014)</f>
        <v>1007</v>
      </c>
      <c r="B1016" s="13" t="s">
        <v>1361</v>
      </c>
      <c r="C1016" s="13" t="s">
        <v>107</v>
      </c>
      <c r="D1016" s="16" t="s">
        <v>1204</v>
      </c>
      <c r="E1016" s="13" t="s">
        <v>1239</v>
      </c>
      <c r="F1016" s="15">
        <v>45980</v>
      </c>
      <c r="G1016" s="13" t="s">
        <v>16</v>
      </c>
      <c r="H1016" s="15"/>
      <c r="I1016" s="13" t="s">
        <v>304</v>
      </c>
      <c r="J1016" s="13" t="s">
        <v>305</v>
      </c>
      <c r="K1016" s="16"/>
    </row>
    <row r="1017" spans="1:11" ht="28.9">
      <c r="A1017" s="17">
        <f>_xlfn.AGGREGATE(3,1,$B$6:B1015)</f>
        <v>1008</v>
      </c>
      <c r="B1017" s="18" t="s">
        <v>1361</v>
      </c>
      <c r="C1017" s="18" t="s">
        <v>1051</v>
      </c>
      <c r="D1017" s="21" t="s">
        <v>1368</v>
      </c>
      <c r="E1017" s="18" t="s">
        <v>1239</v>
      </c>
      <c r="F1017" s="20">
        <v>45980</v>
      </c>
      <c r="G1017" s="18" t="s">
        <v>20</v>
      </c>
      <c r="H1017" s="20"/>
      <c r="I1017" s="18" t="s">
        <v>304</v>
      </c>
      <c r="J1017" s="18" t="s">
        <v>305</v>
      </c>
      <c r="K1017" s="21"/>
    </row>
    <row r="1018" spans="1:11">
      <c r="A1018" s="12">
        <f>_xlfn.AGGREGATE(3,1,$B$6:B1016)</f>
        <v>1009</v>
      </c>
      <c r="B1018" s="13" t="s">
        <v>1369</v>
      </c>
      <c r="C1018" s="13" t="s">
        <v>1051</v>
      </c>
      <c r="D1018" s="16" t="s">
        <v>1370</v>
      </c>
      <c r="E1018" s="13" t="s">
        <v>330</v>
      </c>
      <c r="F1018" s="15">
        <v>45983</v>
      </c>
      <c r="G1018" s="13" t="s">
        <v>16</v>
      </c>
      <c r="H1018" s="15"/>
      <c r="I1018" s="13" t="s">
        <v>304</v>
      </c>
      <c r="J1018" s="13" t="s">
        <v>305</v>
      </c>
      <c r="K1018" s="16"/>
    </row>
    <row r="1019" spans="1:11" ht="72">
      <c r="A1019" s="17">
        <f>_xlfn.AGGREGATE(3,1,$B$6:B1017)</f>
        <v>1010</v>
      </c>
      <c r="B1019" s="18" t="s">
        <v>1369</v>
      </c>
      <c r="C1019" s="18" t="s">
        <v>1371</v>
      </c>
      <c r="D1019" s="21" t="s">
        <v>1372</v>
      </c>
      <c r="E1019" s="18" t="s">
        <v>330</v>
      </c>
      <c r="F1019" s="20">
        <v>45983</v>
      </c>
      <c r="G1019" s="18" t="s">
        <v>20</v>
      </c>
      <c r="H1019" s="20"/>
      <c r="I1019" s="18" t="s">
        <v>684</v>
      </c>
      <c r="J1019" s="18" t="s">
        <v>18</v>
      </c>
      <c r="K1019" s="21"/>
    </row>
    <row r="1020" spans="1:11" ht="72">
      <c r="A1020" s="12">
        <f>_xlfn.AGGREGATE(3,1,$B$6:B1018)</f>
        <v>1011</v>
      </c>
      <c r="B1020" s="13" t="s">
        <v>1369</v>
      </c>
      <c r="C1020" s="13" t="s">
        <v>1051</v>
      </c>
      <c r="D1020" s="16" t="s">
        <v>1373</v>
      </c>
      <c r="E1020" s="13" t="s">
        <v>330</v>
      </c>
      <c r="F1020" s="15">
        <v>45983</v>
      </c>
      <c r="G1020" s="13" t="s">
        <v>16</v>
      </c>
      <c r="H1020" s="15"/>
      <c r="I1020" s="13" t="s">
        <v>304</v>
      </c>
      <c r="J1020" s="13" t="s">
        <v>305</v>
      </c>
      <c r="K1020" s="16"/>
    </row>
    <row r="1021" spans="1:11" ht="57.6">
      <c r="A1021" s="17">
        <f>_xlfn.AGGREGATE(3,1,$B$6:B1019)</f>
        <v>1012</v>
      </c>
      <c r="B1021" s="18" t="s">
        <v>1369</v>
      </c>
      <c r="C1021" s="18" t="s">
        <v>1051</v>
      </c>
      <c r="D1021" s="21" t="s">
        <v>1374</v>
      </c>
      <c r="E1021" s="18" t="s">
        <v>330</v>
      </c>
      <c r="F1021" s="20">
        <v>45983</v>
      </c>
      <c r="G1021" s="18" t="s">
        <v>16</v>
      </c>
      <c r="H1021" s="20"/>
      <c r="I1021" s="18" t="s">
        <v>304</v>
      </c>
      <c r="J1021" s="18" t="s">
        <v>305</v>
      </c>
      <c r="K1021" s="21"/>
    </row>
    <row r="1022" spans="1:11" ht="28.9">
      <c r="A1022" s="12">
        <f>_xlfn.AGGREGATE(3,1,$B$6:B1020)</f>
        <v>1013</v>
      </c>
      <c r="B1022" s="13" t="s">
        <v>1369</v>
      </c>
      <c r="C1022" s="13" t="s">
        <v>1104</v>
      </c>
      <c r="D1022" s="16" t="s">
        <v>1375</v>
      </c>
      <c r="E1022" s="13" t="s">
        <v>330</v>
      </c>
      <c r="F1022" s="15">
        <v>45983</v>
      </c>
      <c r="G1022" s="13" t="s">
        <v>16</v>
      </c>
      <c r="H1022" s="15"/>
      <c r="I1022" s="13" t="s">
        <v>684</v>
      </c>
      <c r="J1022" s="13" t="s">
        <v>18</v>
      </c>
      <c r="K1022" s="16"/>
    </row>
    <row r="1023" spans="1:11" ht="28.9">
      <c r="A1023" s="17">
        <f>_xlfn.AGGREGATE(3,1,$B$6:B1021)</f>
        <v>1014</v>
      </c>
      <c r="B1023" s="18" t="s">
        <v>1369</v>
      </c>
      <c r="C1023" s="18" t="s">
        <v>1371</v>
      </c>
      <c r="D1023" s="21" t="s">
        <v>1376</v>
      </c>
      <c r="E1023" s="18" t="s">
        <v>330</v>
      </c>
      <c r="F1023" s="20">
        <v>45983</v>
      </c>
      <c r="G1023" s="18" t="s">
        <v>77</v>
      </c>
      <c r="H1023" s="20"/>
      <c r="I1023" s="18" t="s">
        <v>684</v>
      </c>
      <c r="J1023" s="18" t="s">
        <v>305</v>
      </c>
      <c r="K1023" s="21"/>
    </row>
    <row r="1024" spans="1:11" ht="43.15">
      <c r="A1024" s="12">
        <f>_xlfn.AGGREGATE(3,1,$B$6:B1022)</f>
        <v>1015</v>
      </c>
      <c r="B1024" s="13" t="s">
        <v>1377</v>
      </c>
      <c r="C1024" s="13" t="s">
        <v>47</v>
      </c>
      <c r="D1024" s="16" t="s">
        <v>1277</v>
      </c>
      <c r="E1024" s="13" t="s">
        <v>1278</v>
      </c>
      <c r="F1024" s="15">
        <v>45986</v>
      </c>
      <c r="G1024" s="13" t="s">
        <v>77</v>
      </c>
      <c r="H1024" s="15"/>
      <c r="I1024" s="13" t="s">
        <v>214</v>
      </c>
      <c r="J1024" s="13" t="s">
        <v>305</v>
      </c>
      <c r="K1024" s="16"/>
    </row>
    <row r="1025" spans="1:11" ht="57.6">
      <c r="A1025" s="17">
        <f>_xlfn.AGGREGATE(3,1,$B$6:B1023)</f>
        <v>1016</v>
      </c>
      <c r="B1025" s="18" t="s">
        <v>1377</v>
      </c>
      <c r="C1025" s="18" t="s">
        <v>1051</v>
      </c>
      <c r="D1025" s="21" t="s">
        <v>1378</v>
      </c>
      <c r="E1025" s="18" t="s">
        <v>1379</v>
      </c>
      <c r="F1025" s="20">
        <v>45986</v>
      </c>
      <c r="G1025" s="18" t="s">
        <v>20</v>
      </c>
      <c r="H1025" s="20"/>
      <c r="I1025" s="18" t="s">
        <v>304</v>
      </c>
      <c r="J1025" s="18" t="s">
        <v>305</v>
      </c>
      <c r="K1025" s="21"/>
    </row>
    <row r="1026" spans="1:11" ht="43.15">
      <c r="A1026" s="12">
        <f>_xlfn.AGGREGATE(3,1,$B$6:B1024)</f>
        <v>1017</v>
      </c>
      <c r="B1026" s="13" t="s">
        <v>1377</v>
      </c>
      <c r="C1026" s="13" t="s">
        <v>107</v>
      </c>
      <c r="D1026" s="16" t="s">
        <v>1380</v>
      </c>
      <c r="E1026" s="13" t="s">
        <v>1379</v>
      </c>
      <c r="F1026" s="15">
        <v>45986</v>
      </c>
      <c r="G1026" s="13" t="s">
        <v>16</v>
      </c>
      <c r="H1026" s="15"/>
      <c r="I1026" s="13" t="s">
        <v>304</v>
      </c>
      <c r="J1026" s="13" t="s">
        <v>305</v>
      </c>
      <c r="K1026" s="16"/>
    </row>
    <row r="1027" spans="1:11" ht="43.15">
      <c r="A1027" s="17">
        <f>_xlfn.AGGREGATE(3,1,$B$6:B1025)</f>
        <v>1018</v>
      </c>
      <c r="B1027" s="18" t="s">
        <v>1377</v>
      </c>
      <c r="C1027" s="18" t="s">
        <v>1051</v>
      </c>
      <c r="D1027" s="21" t="s">
        <v>1381</v>
      </c>
      <c r="E1027" s="18" t="s">
        <v>1285</v>
      </c>
      <c r="F1027" s="20">
        <v>45986</v>
      </c>
      <c r="G1027" s="18" t="s">
        <v>16</v>
      </c>
      <c r="H1027" s="20"/>
      <c r="I1027" s="18" t="s">
        <v>304</v>
      </c>
      <c r="J1027" s="18" t="s">
        <v>305</v>
      </c>
      <c r="K1027" s="21"/>
    </row>
    <row r="1028" spans="1:11" ht="43.15">
      <c r="A1028" s="12">
        <f>_xlfn.AGGREGATE(3,1,$B$6:B1026)</f>
        <v>1019</v>
      </c>
      <c r="B1028" s="13" t="s">
        <v>1377</v>
      </c>
      <c r="C1028" s="13" t="s">
        <v>107</v>
      </c>
      <c r="D1028" s="16" t="s">
        <v>1380</v>
      </c>
      <c r="E1028" s="13" t="s">
        <v>1285</v>
      </c>
      <c r="F1028" s="15">
        <v>45986</v>
      </c>
      <c r="G1028" s="13" t="s">
        <v>16</v>
      </c>
      <c r="H1028" s="15"/>
      <c r="I1028" s="13" t="s">
        <v>304</v>
      </c>
      <c r="J1028" s="13" t="s">
        <v>305</v>
      </c>
      <c r="K1028" s="16"/>
    </row>
    <row r="1029" spans="1:11" ht="28.9">
      <c r="A1029" s="12">
        <f>_xlfn.AGGREGATE(3,1,$B$6:B1027)</f>
        <v>1020</v>
      </c>
      <c r="B1029" s="13" t="s">
        <v>1382</v>
      </c>
      <c r="C1029" s="13" t="s">
        <v>1342</v>
      </c>
      <c r="D1029" s="16" t="s">
        <v>1383</v>
      </c>
      <c r="E1029" s="13" t="s">
        <v>1339</v>
      </c>
      <c r="F1029" s="26">
        <v>45987</v>
      </c>
      <c r="G1029" s="13" t="s">
        <v>16</v>
      </c>
      <c r="H1029" s="26"/>
      <c r="I1029" s="13" t="s">
        <v>684</v>
      </c>
      <c r="J1029" s="13" t="s">
        <v>305</v>
      </c>
      <c r="K1029" s="16"/>
    </row>
    <row r="1030" spans="1:11" ht="28.9">
      <c r="A1030" s="12">
        <f>_xlfn.AGGREGATE(3,1,$B$6:B1028)</f>
        <v>1021</v>
      </c>
      <c r="B1030" s="13" t="s">
        <v>1382</v>
      </c>
      <c r="C1030" s="13" t="s">
        <v>107</v>
      </c>
      <c r="D1030" s="16" t="s">
        <v>1384</v>
      </c>
      <c r="E1030" s="13" t="s">
        <v>1339</v>
      </c>
      <c r="F1030" s="26">
        <v>45987</v>
      </c>
      <c r="G1030" s="13" t="s">
        <v>16</v>
      </c>
      <c r="H1030" s="26"/>
      <c r="I1030" s="13" t="s">
        <v>304</v>
      </c>
      <c r="J1030" s="13" t="s">
        <v>18</v>
      </c>
      <c r="K1030" s="16"/>
    </row>
    <row r="1031" spans="1:11" ht="86.45">
      <c r="A1031" s="23">
        <f>_xlfn.AGGREGATE(3,1,$B$6:B1130)</f>
        <v>1121</v>
      </c>
      <c r="B1031" s="13" t="s">
        <v>1382</v>
      </c>
      <c r="C1031" s="13" t="s">
        <v>107</v>
      </c>
      <c r="D1031" s="16" t="s">
        <v>1385</v>
      </c>
      <c r="E1031" s="13" t="s">
        <v>1339</v>
      </c>
      <c r="F1031" s="26">
        <v>45987</v>
      </c>
      <c r="G1031" s="13" t="s">
        <v>20</v>
      </c>
      <c r="H1031" s="26"/>
      <c r="I1031" s="13" t="s">
        <v>304</v>
      </c>
      <c r="J1031" s="13" t="s">
        <v>18</v>
      </c>
      <c r="K1031" s="16"/>
    </row>
    <row r="1032" spans="1:11" ht="86.45">
      <c r="A1032" s="12">
        <f>_xlfn.AGGREGATE(3,1,$B$6:B1030)</f>
        <v>1023</v>
      </c>
      <c r="B1032" s="13" t="s">
        <v>1382</v>
      </c>
      <c r="C1032" s="13" t="s">
        <v>104</v>
      </c>
      <c r="D1032" s="16" t="s">
        <v>1386</v>
      </c>
      <c r="E1032" s="13" t="s">
        <v>1335</v>
      </c>
      <c r="F1032" s="26">
        <v>45987</v>
      </c>
      <c r="G1032" s="13" t="s">
        <v>16</v>
      </c>
      <c r="H1032" s="26"/>
      <c r="I1032" s="13" t="s">
        <v>304</v>
      </c>
      <c r="J1032" s="13" t="s">
        <v>305</v>
      </c>
      <c r="K1032" s="16"/>
    </row>
    <row r="1033" spans="1:11" ht="28.9">
      <c r="A1033" s="12">
        <f>_xlfn.AGGREGATE(3,1,$B$6:B1031)</f>
        <v>1024</v>
      </c>
      <c r="B1033" s="13" t="s">
        <v>1382</v>
      </c>
      <c r="C1033" s="13" t="s">
        <v>107</v>
      </c>
      <c r="D1033" s="16" t="s">
        <v>1387</v>
      </c>
      <c r="E1033" s="13" t="s">
        <v>1335</v>
      </c>
      <c r="F1033" s="26">
        <v>45987</v>
      </c>
      <c r="G1033" s="13" t="s">
        <v>16</v>
      </c>
      <c r="H1033" s="26"/>
      <c r="I1033" s="13" t="s">
        <v>304</v>
      </c>
      <c r="J1033" s="13" t="s">
        <v>305</v>
      </c>
      <c r="K1033" s="16"/>
    </row>
    <row r="1034" spans="1:11" ht="86.45">
      <c r="A1034" s="12">
        <f>_xlfn.AGGREGATE(3,1,$B$6:B1032)</f>
        <v>1025</v>
      </c>
      <c r="B1034" s="13" t="s">
        <v>1388</v>
      </c>
      <c r="C1034" s="13" t="s">
        <v>1389</v>
      </c>
      <c r="D1034" s="16" t="s">
        <v>1390</v>
      </c>
      <c r="E1034" s="27" t="s">
        <v>183</v>
      </c>
      <c r="F1034" s="26">
        <v>45988</v>
      </c>
      <c r="G1034" s="13" t="s">
        <v>20</v>
      </c>
      <c r="H1034" s="26"/>
      <c r="I1034" s="28" t="s">
        <v>684</v>
      </c>
      <c r="J1034" s="13" t="s">
        <v>305</v>
      </c>
      <c r="K1034" s="16"/>
    </row>
    <row r="1035" spans="1:11" ht="115.15">
      <c r="A1035" s="12">
        <f>_xlfn.AGGREGATE(3,1,$B$6:B1033)</f>
        <v>1026</v>
      </c>
      <c r="B1035" s="13" t="s">
        <v>1391</v>
      </c>
      <c r="C1035" s="13" t="s">
        <v>107</v>
      </c>
      <c r="D1035" s="16" t="s">
        <v>1392</v>
      </c>
      <c r="E1035" s="27" t="s">
        <v>1087</v>
      </c>
      <c r="F1035" s="26">
        <v>45988</v>
      </c>
      <c r="G1035" s="13" t="s">
        <v>20</v>
      </c>
      <c r="H1035" s="26"/>
      <c r="I1035" s="28" t="s">
        <v>304</v>
      </c>
      <c r="J1035" s="13" t="s">
        <v>18</v>
      </c>
      <c r="K1035" s="16"/>
    </row>
    <row r="1036" spans="1:11" ht="43.15">
      <c r="A1036" s="12">
        <f>_xlfn.AGGREGATE(3,1,$B$6:B1034)</f>
        <v>1027</v>
      </c>
      <c r="B1036" s="13" t="s">
        <v>1391</v>
      </c>
      <c r="C1036" s="13" t="s">
        <v>107</v>
      </c>
      <c r="D1036" s="16" t="s">
        <v>1393</v>
      </c>
      <c r="E1036" s="27" t="s">
        <v>1394</v>
      </c>
      <c r="F1036" s="26">
        <v>45988</v>
      </c>
      <c r="G1036" s="13" t="s">
        <v>16</v>
      </c>
      <c r="H1036" s="26"/>
      <c r="I1036" s="28" t="s">
        <v>304</v>
      </c>
      <c r="J1036" s="13" t="s">
        <v>305</v>
      </c>
      <c r="K1036" s="16"/>
    </row>
    <row r="1037" spans="1:11" ht="43.15">
      <c r="A1037" s="12">
        <f>_xlfn.AGGREGATE(3,1,$B$6:B1035)</f>
        <v>1028</v>
      </c>
      <c r="B1037" s="13" t="s">
        <v>1391</v>
      </c>
      <c r="C1037" s="13" t="s">
        <v>107</v>
      </c>
      <c r="D1037" s="16" t="s">
        <v>1395</v>
      </c>
      <c r="E1037" s="27" t="s">
        <v>1394</v>
      </c>
      <c r="F1037" s="26">
        <v>45988</v>
      </c>
      <c r="G1037" s="13" t="s">
        <v>20</v>
      </c>
      <c r="H1037" s="26"/>
      <c r="I1037" s="28" t="s">
        <v>304</v>
      </c>
      <c r="J1037" s="13" t="s">
        <v>305</v>
      </c>
      <c r="K1037" s="16"/>
    </row>
    <row r="1038" spans="1:11" ht="43.15">
      <c r="A1038" s="12">
        <f>_xlfn.AGGREGATE(3,1,$B$6:B1036)</f>
        <v>1029</v>
      </c>
      <c r="B1038" s="13" t="s">
        <v>1391</v>
      </c>
      <c r="C1038" s="13" t="s">
        <v>1213</v>
      </c>
      <c r="D1038" s="16" t="s">
        <v>1396</v>
      </c>
      <c r="E1038" s="27" t="s">
        <v>42</v>
      </c>
      <c r="F1038" s="26">
        <v>45988</v>
      </c>
      <c r="G1038" s="13" t="s">
        <v>16</v>
      </c>
      <c r="H1038" s="26"/>
      <c r="I1038" s="28" t="s">
        <v>684</v>
      </c>
      <c r="J1038" s="13" t="s">
        <v>305</v>
      </c>
      <c r="K1038" s="16"/>
    </row>
    <row r="1039" spans="1:11" ht="43.15">
      <c r="A1039" s="12">
        <f>_xlfn.AGGREGATE(3,1,$B$6:B1037)</f>
        <v>1030</v>
      </c>
      <c r="B1039" s="13" t="s">
        <v>1391</v>
      </c>
      <c r="C1039" s="13" t="s">
        <v>107</v>
      </c>
      <c r="D1039" s="16" t="s">
        <v>1393</v>
      </c>
      <c r="E1039" s="27" t="s">
        <v>42</v>
      </c>
      <c r="F1039" s="26">
        <v>45988</v>
      </c>
      <c r="G1039" s="13" t="s">
        <v>16</v>
      </c>
      <c r="H1039" s="26"/>
      <c r="I1039" s="28" t="s">
        <v>304</v>
      </c>
      <c r="J1039" s="13" t="s">
        <v>305</v>
      </c>
      <c r="K1039" s="16"/>
    </row>
    <row r="1040" spans="1:11" ht="43.15">
      <c r="A1040" s="12">
        <f>_xlfn.AGGREGATE(3,1,$B$6:B1038)</f>
        <v>1031</v>
      </c>
      <c r="B1040" s="13" t="s">
        <v>1391</v>
      </c>
      <c r="C1040" s="13" t="s">
        <v>107</v>
      </c>
      <c r="D1040" s="16" t="s">
        <v>1395</v>
      </c>
      <c r="E1040" s="27" t="s">
        <v>42</v>
      </c>
      <c r="F1040" s="26">
        <v>45988</v>
      </c>
      <c r="G1040" s="13" t="s">
        <v>20</v>
      </c>
      <c r="H1040" s="26"/>
      <c r="I1040" s="28" t="s">
        <v>304</v>
      </c>
      <c r="J1040" s="13" t="s">
        <v>305</v>
      </c>
      <c r="K1040" s="16"/>
    </row>
    <row r="1041" spans="1:11" ht="72">
      <c r="A1041" s="12">
        <f>_xlfn.AGGREGATE(3,1,$B$6:B1039)</f>
        <v>1032</v>
      </c>
      <c r="B1041" s="13" t="s">
        <v>1391</v>
      </c>
      <c r="C1041" s="13" t="s">
        <v>107</v>
      </c>
      <c r="D1041" s="16" t="s">
        <v>1397</v>
      </c>
      <c r="E1041" s="27" t="s">
        <v>42</v>
      </c>
      <c r="F1041" s="26">
        <v>45988</v>
      </c>
      <c r="G1041" s="13" t="s">
        <v>16</v>
      </c>
      <c r="H1041" s="26"/>
      <c r="I1041" s="28" t="s">
        <v>304</v>
      </c>
      <c r="J1041" s="13" t="s">
        <v>305</v>
      </c>
      <c r="K1041" s="16"/>
    </row>
    <row r="1042" spans="1:11" ht="115.15">
      <c r="A1042" s="12">
        <f>_xlfn.AGGREGATE(3,1,$B$6:B1040)</f>
        <v>1033</v>
      </c>
      <c r="B1042" s="13" t="s">
        <v>1391</v>
      </c>
      <c r="C1042" s="13" t="s">
        <v>107</v>
      </c>
      <c r="D1042" s="16" t="s">
        <v>1392</v>
      </c>
      <c r="E1042" s="27" t="s">
        <v>38</v>
      </c>
      <c r="F1042" s="26">
        <v>45988</v>
      </c>
      <c r="G1042" s="13" t="s">
        <v>20</v>
      </c>
      <c r="H1042" s="26"/>
      <c r="I1042" s="28" t="s">
        <v>304</v>
      </c>
      <c r="J1042" s="13" t="s">
        <v>305</v>
      </c>
      <c r="K1042" s="16"/>
    </row>
    <row r="1043" spans="1:11" ht="28.9">
      <c r="A1043" s="12">
        <f>_xlfn.AGGREGATE(3,1,$B$6:B1041)</f>
        <v>1034</v>
      </c>
      <c r="B1043" s="13" t="s">
        <v>1391</v>
      </c>
      <c r="C1043" s="13" t="s">
        <v>1051</v>
      </c>
      <c r="D1043" s="16" t="s">
        <v>1398</v>
      </c>
      <c r="E1043" s="27" t="s">
        <v>38</v>
      </c>
      <c r="F1043" s="26">
        <v>45988</v>
      </c>
      <c r="G1043" s="13" t="s">
        <v>20</v>
      </c>
      <c r="H1043" s="26"/>
      <c r="I1043" s="28" t="s">
        <v>304</v>
      </c>
      <c r="J1043" s="13" t="s">
        <v>305</v>
      </c>
      <c r="K1043" s="16"/>
    </row>
    <row r="1044" spans="1:11" ht="43.15">
      <c r="A1044" s="12">
        <f>_xlfn.AGGREGATE(3,1,$B$6:B1042)</f>
        <v>1035</v>
      </c>
      <c r="B1044" s="13" t="s">
        <v>1391</v>
      </c>
      <c r="C1044" s="13" t="s">
        <v>913</v>
      </c>
      <c r="D1044" s="16" t="s">
        <v>1396</v>
      </c>
      <c r="E1044" s="28" t="s">
        <v>970</v>
      </c>
      <c r="F1044" s="26">
        <v>45988</v>
      </c>
      <c r="G1044" s="13" t="s">
        <v>16</v>
      </c>
      <c r="H1044" s="26"/>
      <c r="I1044" s="28" t="s">
        <v>684</v>
      </c>
      <c r="J1044" s="13" t="s">
        <v>305</v>
      </c>
      <c r="K1044" s="16"/>
    </row>
    <row r="1045" spans="1:11" ht="43.15">
      <c r="A1045" s="12">
        <f>_xlfn.AGGREGATE(3,1,$B$6:B1043)</f>
        <v>1036</v>
      </c>
      <c r="B1045" s="13" t="s">
        <v>1391</v>
      </c>
      <c r="C1045" s="13" t="s">
        <v>107</v>
      </c>
      <c r="D1045" s="16" t="s">
        <v>1395</v>
      </c>
      <c r="E1045" s="28" t="s">
        <v>970</v>
      </c>
      <c r="F1045" s="26">
        <v>45988</v>
      </c>
      <c r="G1045" s="13" t="s">
        <v>20</v>
      </c>
      <c r="H1045" s="26"/>
      <c r="I1045" s="28" t="s">
        <v>304</v>
      </c>
      <c r="J1045" s="13" t="s">
        <v>305</v>
      </c>
      <c r="K1045" s="16"/>
    </row>
    <row r="1046" spans="1:11" ht="43.15">
      <c r="A1046" s="12">
        <f>_xlfn.AGGREGATE(3,1,$B$6:B1044)</f>
        <v>1037</v>
      </c>
      <c r="B1046" s="13" t="s">
        <v>1391</v>
      </c>
      <c r="C1046" s="13" t="s">
        <v>107</v>
      </c>
      <c r="D1046" s="16" t="s">
        <v>1399</v>
      </c>
      <c r="E1046" s="28" t="s">
        <v>970</v>
      </c>
      <c r="F1046" s="26">
        <v>45988</v>
      </c>
      <c r="G1046" s="13" t="s">
        <v>16</v>
      </c>
      <c r="H1046" s="26"/>
      <c r="I1046" s="28" t="s">
        <v>304</v>
      </c>
      <c r="J1046" s="13" t="s">
        <v>305</v>
      </c>
      <c r="K1046" s="16"/>
    </row>
    <row r="1047" spans="1:11" ht="43.15">
      <c r="A1047" s="12">
        <f>_xlfn.AGGREGATE(3,1,$B$6:B1045)</f>
        <v>1038</v>
      </c>
      <c r="B1047" s="13" t="s">
        <v>1391</v>
      </c>
      <c r="C1047" s="13" t="s">
        <v>1400</v>
      </c>
      <c r="D1047" s="16" t="s">
        <v>1401</v>
      </c>
      <c r="E1047" s="28" t="s">
        <v>36</v>
      </c>
      <c r="F1047" s="26">
        <v>45988</v>
      </c>
      <c r="G1047" s="13" t="s">
        <v>16</v>
      </c>
      <c r="H1047" s="26"/>
      <c r="I1047" s="28" t="s">
        <v>304</v>
      </c>
      <c r="J1047" s="13" t="s">
        <v>305</v>
      </c>
      <c r="K1047" s="16"/>
    </row>
    <row r="1048" spans="1:11" ht="43.15">
      <c r="A1048" s="12">
        <f>_xlfn.AGGREGATE(3,1,$B$6:B1046)</f>
        <v>1039</v>
      </c>
      <c r="B1048" s="13" t="s">
        <v>1391</v>
      </c>
      <c r="C1048" s="13" t="s">
        <v>1371</v>
      </c>
      <c r="D1048" s="16" t="s">
        <v>1396</v>
      </c>
      <c r="E1048" s="28" t="s">
        <v>1236</v>
      </c>
      <c r="F1048" s="26">
        <v>45988</v>
      </c>
      <c r="G1048" s="13" t="s">
        <v>16</v>
      </c>
      <c r="H1048" s="26"/>
      <c r="I1048" s="28" t="s">
        <v>684</v>
      </c>
      <c r="J1048" s="13" t="s">
        <v>305</v>
      </c>
      <c r="K1048" s="16"/>
    </row>
    <row r="1049" spans="1:11" ht="43.15">
      <c r="A1049" s="12">
        <f>_xlfn.AGGREGATE(3,1,$B$6:B1047)</f>
        <v>1040</v>
      </c>
      <c r="B1049" s="13" t="s">
        <v>1391</v>
      </c>
      <c r="C1049" s="13" t="s">
        <v>107</v>
      </c>
      <c r="D1049" s="16" t="s">
        <v>1395</v>
      </c>
      <c r="E1049" s="28" t="s">
        <v>1236</v>
      </c>
      <c r="F1049" s="26">
        <v>45988</v>
      </c>
      <c r="G1049" s="13" t="s">
        <v>20</v>
      </c>
      <c r="H1049" s="26"/>
      <c r="I1049" s="28" t="s">
        <v>304</v>
      </c>
      <c r="J1049" s="13" t="s">
        <v>305</v>
      </c>
      <c r="K1049" s="16"/>
    </row>
    <row r="1050" spans="1:11" ht="43.15">
      <c r="A1050" s="12">
        <f>_xlfn.AGGREGATE(3,1,$B$6:B1048)</f>
        <v>1041</v>
      </c>
      <c r="B1050" s="13" t="s">
        <v>1402</v>
      </c>
      <c r="C1050" s="13" t="s">
        <v>1259</v>
      </c>
      <c r="D1050" s="16" t="s">
        <v>1403</v>
      </c>
      <c r="E1050" s="28" t="s">
        <v>183</v>
      </c>
      <c r="F1050" s="26">
        <v>45989</v>
      </c>
      <c r="G1050" s="13" t="s">
        <v>20</v>
      </c>
      <c r="H1050" s="26"/>
      <c r="I1050" s="28" t="s">
        <v>684</v>
      </c>
      <c r="J1050" s="13" t="s">
        <v>305</v>
      </c>
      <c r="K1050" s="16"/>
    </row>
    <row r="1051" spans="1:11" ht="43.15">
      <c r="A1051" s="12">
        <f>_xlfn.AGGREGATE(3,1,$B$6:B1049)</f>
        <v>1042</v>
      </c>
      <c r="B1051" s="13" t="s">
        <v>1402</v>
      </c>
      <c r="C1051" s="13" t="s">
        <v>1404</v>
      </c>
      <c r="D1051" s="16" t="s">
        <v>1403</v>
      </c>
      <c r="E1051" s="28" t="s">
        <v>183</v>
      </c>
      <c r="F1051" s="26">
        <v>45989</v>
      </c>
      <c r="G1051" s="13" t="s">
        <v>20</v>
      </c>
      <c r="H1051" s="26"/>
      <c r="I1051" s="28" t="s">
        <v>684</v>
      </c>
      <c r="J1051" s="13" t="s">
        <v>305</v>
      </c>
      <c r="K1051" s="16"/>
    </row>
    <row r="1052" spans="1:11" ht="72">
      <c r="A1052" s="12">
        <f>_xlfn.AGGREGATE(3,1,$B$6:B1050)</f>
        <v>1043</v>
      </c>
      <c r="B1052" s="13" t="s">
        <v>1402</v>
      </c>
      <c r="C1052" s="13" t="s">
        <v>1405</v>
      </c>
      <c r="D1052" s="16" t="s">
        <v>1406</v>
      </c>
      <c r="E1052" s="28" t="s">
        <v>183</v>
      </c>
      <c r="F1052" s="26">
        <v>45989</v>
      </c>
      <c r="G1052" s="13" t="s">
        <v>20</v>
      </c>
      <c r="H1052" s="26"/>
      <c r="I1052" s="28" t="s">
        <v>684</v>
      </c>
      <c r="J1052" s="13" t="s">
        <v>305</v>
      </c>
      <c r="K1052" s="16"/>
    </row>
    <row r="1053" spans="1:11" ht="57.6">
      <c r="A1053" s="12">
        <f>_xlfn.AGGREGATE(3,1,$B$6:B1051)</f>
        <v>1044</v>
      </c>
      <c r="B1053" s="13" t="s">
        <v>1402</v>
      </c>
      <c r="C1053" s="13" t="s">
        <v>47</v>
      </c>
      <c r="D1053" s="16" t="s">
        <v>1407</v>
      </c>
      <c r="E1053" s="28" t="s">
        <v>183</v>
      </c>
      <c r="F1053" s="26">
        <v>45989</v>
      </c>
      <c r="G1053" s="13" t="s">
        <v>16</v>
      </c>
      <c r="H1053" s="26"/>
      <c r="I1053" s="28" t="s">
        <v>684</v>
      </c>
      <c r="J1053" s="13" t="s">
        <v>305</v>
      </c>
      <c r="K1053" s="16"/>
    </row>
    <row r="1054" spans="1:11" ht="28.9">
      <c r="A1054" s="12">
        <f>_xlfn.AGGREGATE(3,1,$B$6:B1052)</f>
        <v>1045</v>
      </c>
      <c r="B1054" s="13" t="s">
        <v>1402</v>
      </c>
      <c r="C1054" s="13" t="s">
        <v>1213</v>
      </c>
      <c r="D1054" s="16" t="s">
        <v>1376</v>
      </c>
      <c r="E1054" s="28" t="s">
        <v>183</v>
      </c>
      <c r="F1054" s="26">
        <v>45989</v>
      </c>
      <c r="G1054" s="13" t="s">
        <v>16</v>
      </c>
      <c r="H1054" s="26"/>
      <c r="I1054" s="28" t="s">
        <v>684</v>
      </c>
      <c r="J1054" s="13" t="s">
        <v>305</v>
      </c>
      <c r="K1054" s="16"/>
    </row>
    <row r="1055" spans="1:11" ht="28.9">
      <c r="A1055" s="12">
        <f>_xlfn.AGGREGATE(3,1,$B$6:B1053)</f>
        <v>1046</v>
      </c>
      <c r="B1055" s="13" t="s">
        <v>1402</v>
      </c>
      <c r="C1055" s="13" t="s">
        <v>1408</v>
      </c>
      <c r="D1055" s="16" t="s">
        <v>1409</v>
      </c>
      <c r="E1055" s="28" t="s">
        <v>183</v>
      </c>
      <c r="F1055" s="26">
        <v>45989</v>
      </c>
      <c r="G1055" s="13" t="s">
        <v>16</v>
      </c>
      <c r="H1055" s="26"/>
      <c r="I1055" s="28" t="s">
        <v>684</v>
      </c>
      <c r="J1055" s="13" t="s">
        <v>305</v>
      </c>
      <c r="K1055" s="16"/>
    </row>
    <row r="1056" spans="1:11" ht="43.15">
      <c r="A1056" s="12">
        <f>_xlfn.AGGREGATE(3,1,$B$6:B1054)</f>
        <v>1047</v>
      </c>
      <c r="B1056" s="13" t="s">
        <v>1410</v>
      </c>
      <c r="C1056" s="13" t="s">
        <v>107</v>
      </c>
      <c r="D1056" s="16" t="s">
        <v>1411</v>
      </c>
      <c r="E1056" s="28" t="s">
        <v>15</v>
      </c>
      <c r="F1056" s="26">
        <v>45994</v>
      </c>
      <c r="G1056" s="13" t="s">
        <v>20</v>
      </c>
      <c r="H1056" s="26"/>
      <c r="I1056" s="28" t="s">
        <v>304</v>
      </c>
      <c r="J1056" s="13" t="s">
        <v>18</v>
      </c>
      <c r="K1056" s="16"/>
    </row>
    <row r="1057" spans="1:11" ht="43.15">
      <c r="A1057" s="12">
        <f>_xlfn.AGGREGATE(3,1,$B$6:B1055)</f>
        <v>1048</v>
      </c>
      <c r="B1057" s="13" t="s">
        <v>1410</v>
      </c>
      <c r="C1057" s="13" t="s">
        <v>1412</v>
      </c>
      <c r="D1057" s="16" t="s">
        <v>1413</v>
      </c>
      <c r="E1057" s="28" t="s">
        <v>15</v>
      </c>
      <c r="F1057" s="26">
        <v>45994</v>
      </c>
      <c r="G1057" s="13" t="s">
        <v>20</v>
      </c>
      <c r="H1057" s="26"/>
      <c r="I1057" s="28" t="s">
        <v>304</v>
      </c>
      <c r="J1057" s="13" t="s">
        <v>18</v>
      </c>
      <c r="K1057" s="16"/>
    </row>
    <row r="1058" spans="1:11" ht="57.6">
      <c r="A1058" s="12">
        <f>_xlfn.AGGREGATE(3,1,$B$6:B1056)</f>
        <v>1049</v>
      </c>
      <c r="B1058" s="13" t="s">
        <v>1410</v>
      </c>
      <c r="C1058" s="13" t="s">
        <v>927</v>
      </c>
      <c r="D1058" s="16" t="s">
        <v>1414</v>
      </c>
      <c r="E1058" s="28" t="s">
        <v>15</v>
      </c>
      <c r="F1058" s="26">
        <v>45994</v>
      </c>
      <c r="G1058" s="13" t="s">
        <v>20</v>
      </c>
      <c r="H1058" s="26"/>
      <c r="I1058" s="28" t="s">
        <v>684</v>
      </c>
      <c r="J1058" s="13" t="s">
        <v>305</v>
      </c>
      <c r="K1058" s="16"/>
    </row>
    <row r="1059" spans="1:11" ht="43.15">
      <c r="A1059" s="12">
        <f>_xlfn.AGGREGATE(3,1,$B$6:B1057)</f>
        <v>1050</v>
      </c>
      <c r="B1059" s="13" t="s">
        <v>1410</v>
      </c>
      <c r="C1059" s="13" t="s">
        <v>927</v>
      </c>
      <c r="D1059" s="16" t="s">
        <v>1396</v>
      </c>
      <c r="E1059" s="28" t="s">
        <v>15</v>
      </c>
      <c r="F1059" s="26">
        <v>45994</v>
      </c>
      <c r="G1059" s="13" t="s">
        <v>16</v>
      </c>
      <c r="H1059" s="26"/>
      <c r="I1059" s="28" t="s">
        <v>684</v>
      </c>
      <c r="J1059" s="13" t="s">
        <v>305</v>
      </c>
      <c r="K1059" s="16"/>
    </row>
    <row r="1060" spans="1:11" ht="43.15">
      <c r="A1060" s="12">
        <f>_xlfn.AGGREGATE(3,1,$B$6:B1058)</f>
        <v>1051</v>
      </c>
      <c r="B1060" s="13" t="s">
        <v>1410</v>
      </c>
      <c r="C1060" s="13" t="s">
        <v>998</v>
      </c>
      <c r="D1060" s="16" t="s">
        <v>1396</v>
      </c>
      <c r="E1060" s="28" t="s">
        <v>15</v>
      </c>
      <c r="F1060" s="26">
        <v>45994</v>
      </c>
      <c r="G1060" s="13" t="s">
        <v>16</v>
      </c>
      <c r="H1060" s="26"/>
      <c r="I1060" s="28" t="s">
        <v>684</v>
      </c>
      <c r="J1060" s="13" t="s">
        <v>305</v>
      </c>
      <c r="K1060" s="16"/>
    </row>
    <row r="1061" spans="1:11" ht="28.9">
      <c r="A1061" s="12">
        <f>_xlfn.AGGREGATE(3,1,$B$6:B1059)</f>
        <v>1052</v>
      </c>
      <c r="B1061" s="13" t="s">
        <v>1410</v>
      </c>
      <c r="C1061" s="13" t="s">
        <v>927</v>
      </c>
      <c r="D1061" s="16" t="s">
        <v>1415</v>
      </c>
      <c r="E1061" s="28" t="s">
        <v>15</v>
      </c>
      <c r="F1061" s="26">
        <v>45994</v>
      </c>
      <c r="G1061" s="13" t="s">
        <v>16</v>
      </c>
      <c r="H1061" s="26"/>
      <c r="I1061" s="28" t="s">
        <v>684</v>
      </c>
      <c r="J1061" s="13" t="s">
        <v>305</v>
      </c>
      <c r="K1061" s="16"/>
    </row>
    <row r="1062" spans="1:11" ht="43.15">
      <c r="A1062" s="12">
        <f>_xlfn.AGGREGATE(3,1,$B$6:B1060)</f>
        <v>1053</v>
      </c>
      <c r="B1062" s="13" t="s">
        <v>1416</v>
      </c>
      <c r="C1062" s="13" t="s">
        <v>104</v>
      </c>
      <c r="D1062" s="16" t="s">
        <v>1417</v>
      </c>
      <c r="E1062" s="13" t="s">
        <v>970</v>
      </c>
      <c r="F1062" s="26">
        <v>46006</v>
      </c>
      <c r="G1062" s="13" t="s">
        <v>20</v>
      </c>
      <c r="H1062" s="26"/>
      <c r="I1062" s="13" t="s">
        <v>304</v>
      </c>
      <c r="J1062" s="13" t="s">
        <v>305</v>
      </c>
      <c r="K1062" s="16"/>
    </row>
    <row r="1063" spans="1:11" ht="28.9">
      <c r="A1063" s="29">
        <f>_xlfn.AGGREGATE(3,1,$B$6:B1061)</f>
        <v>1054</v>
      </c>
      <c r="B1063" s="13" t="s">
        <v>1418</v>
      </c>
      <c r="C1063" s="32" t="s">
        <v>1400</v>
      </c>
      <c r="D1063" s="30" t="s">
        <v>1267</v>
      </c>
      <c r="E1063" s="32" t="s">
        <v>1225</v>
      </c>
      <c r="F1063" s="33">
        <v>46006</v>
      </c>
      <c r="G1063" s="32" t="s">
        <v>16</v>
      </c>
      <c r="H1063" s="33"/>
      <c r="I1063" s="13" t="s">
        <v>304</v>
      </c>
      <c r="J1063" s="13" t="s">
        <v>305</v>
      </c>
      <c r="K1063" s="30"/>
    </row>
    <row r="1064" spans="1:11" ht="28.9">
      <c r="A1064" s="29">
        <f>_xlfn.AGGREGATE(3,1,$B$6:B1062)</f>
        <v>1055</v>
      </c>
      <c r="B1064" s="13" t="s">
        <v>1418</v>
      </c>
      <c r="C1064" s="32" t="s">
        <v>908</v>
      </c>
      <c r="D1064" s="30" t="s">
        <v>1419</v>
      </c>
      <c r="E1064" s="32" t="s">
        <v>1225</v>
      </c>
      <c r="F1064" s="33">
        <v>46006</v>
      </c>
      <c r="G1064" s="32" t="s">
        <v>16</v>
      </c>
      <c r="H1064" s="33"/>
      <c r="I1064" s="32" t="s">
        <v>684</v>
      </c>
      <c r="J1064" s="13" t="s">
        <v>305</v>
      </c>
      <c r="K1064" s="30"/>
    </row>
    <row r="1065" spans="1:11" ht="28.9">
      <c r="A1065" s="12">
        <f>_xlfn.AGGREGATE(3,1,$B$6:B1063)</f>
        <v>1056</v>
      </c>
      <c r="B1065" s="13" t="s">
        <v>1418</v>
      </c>
      <c r="C1065" s="32" t="s">
        <v>908</v>
      </c>
      <c r="D1065" s="16" t="s">
        <v>1420</v>
      </c>
      <c r="E1065" s="32" t="s">
        <v>1225</v>
      </c>
      <c r="F1065" s="33">
        <v>46006</v>
      </c>
      <c r="G1065" s="32" t="s">
        <v>16</v>
      </c>
      <c r="H1065" s="26"/>
      <c r="I1065" s="32" t="s">
        <v>684</v>
      </c>
      <c r="J1065" s="13" t="s">
        <v>305</v>
      </c>
      <c r="K1065" s="16"/>
    </row>
    <row r="1066" spans="1:11">
      <c r="A1066" s="29">
        <f>_xlfn.AGGREGATE(3,1,$B$6:B1064)</f>
        <v>1057</v>
      </c>
      <c r="B1066" s="13" t="s">
        <v>1418</v>
      </c>
      <c r="C1066" s="32" t="s">
        <v>908</v>
      </c>
      <c r="D1066" s="30" t="s">
        <v>1421</v>
      </c>
      <c r="E1066" s="32" t="s">
        <v>1225</v>
      </c>
      <c r="F1066" s="33">
        <v>46006</v>
      </c>
      <c r="G1066" s="32" t="s">
        <v>16</v>
      </c>
      <c r="H1066" s="33"/>
      <c r="I1066" s="32" t="s">
        <v>684</v>
      </c>
      <c r="J1066" s="13" t="s">
        <v>305</v>
      </c>
      <c r="K1066" s="30"/>
    </row>
    <row r="1067" spans="1:11">
      <c r="A1067" s="12">
        <f>_xlfn.AGGREGATE(3,1,$B$6:B1065)</f>
        <v>1058</v>
      </c>
      <c r="B1067" s="13" t="s">
        <v>1418</v>
      </c>
      <c r="C1067" s="13" t="s">
        <v>47</v>
      </c>
      <c r="D1067" s="16" t="s">
        <v>1221</v>
      </c>
      <c r="E1067" s="32" t="s">
        <v>1225</v>
      </c>
      <c r="F1067" s="33">
        <v>46006</v>
      </c>
      <c r="G1067" s="32" t="s">
        <v>16</v>
      </c>
      <c r="H1067" s="26"/>
      <c r="I1067" s="32" t="s">
        <v>304</v>
      </c>
      <c r="J1067" s="13" t="s">
        <v>305</v>
      </c>
      <c r="K1067" s="16"/>
    </row>
    <row r="1068" spans="1:11" ht="28.9">
      <c r="A1068" s="29">
        <f>_xlfn.AGGREGATE(3,1,$B$6:B1066)</f>
        <v>1059</v>
      </c>
      <c r="B1068" s="13" t="s">
        <v>1418</v>
      </c>
      <c r="C1068" s="32" t="s">
        <v>987</v>
      </c>
      <c r="D1068" s="30" t="s">
        <v>1422</v>
      </c>
      <c r="E1068" s="32" t="s">
        <v>1272</v>
      </c>
      <c r="F1068" s="33">
        <v>46006</v>
      </c>
      <c r="G1068" s="32" t="s">
        <v>16</v>
      </c>
      <c r="H1068" s="33"/>
      <c r="I1068" s="32" t="s">
        <v>684</v>
      </c>
      <c r="J1068" s="13" t="s">
        <v>305</v>
      </c>
      <c r="K1068" s="30"/>
    </row>
    <row r="1069" spans="1:11">
      <c r="A1069" s="29">
        <f>_xlfn.AGGREGATE(3,1,$B$6:B1067)</f>
        <v>1060</v>
      </c>
      <c r="B1069" s="13" t="s">
        <v>1418</v>
      </c>
      <c r="C1069" s="32" t="s">
        <v>47</v>
      </c>
      <c r="D1069" s="30" t="s">
        <v>1221</v>
      </c>
      <c r="E1069" s="32" t="s">
        <v>401</v>
      </c>
      <c r="F1069" s="33">
        <v>46006</v>
      </c>
      <c r="G1069" s="32" t="s">
        <v>16</v>
      </c>
      <c r="H1069" s="33"/>
      <c r="I1069" s="32" t="s">
        <v>304</v>
      </c>
      <c r="J1069" s="13" t="s">
        <v>305</v>
      </c>
      <c r="K1069" s="30"/>
    </row>
    <row r="1070" spans="1:11" ht="28.9">
      <c r="A1070" s="29">
        <f>_xlfn.AGGREGATE(3,1,$B$6:B1068)</f>
        <v>1061</v>
      </c>
      <c r="B1070" s="13" t="s">
        <v>1423</v>
      </c>
      <c r="C1070" s="32" t="s">
        <v>937</v>
      </c>
      <c r="D1070" s="30" t="s">
        <v>1424</v>
      </c>
      <c r="E1070" s="32" t="s">
        <v>1335</v>
      </c>
      <c r="F1070" s="33">
        <v>46007</v>
      </c>
      <c r="G1070" s="32" t="s">
        <v>20</v>
      </c>
      <c r="H1070" s="33"/>
      <c r="I1070" s="32" t="s">
        <v>684</v>
      </c>
      <c r="J1070" s="13" t="s">
        <v>305</v>
      </c>
      <c r="K1070" s="30"/>
    </row>
    <row r="1071" spans="1:11" ht="57.6">
      <c r="A1071" s="29">
        <f>_xlfn.AGGREGATE(3,1,$B$6:B1069)</f>
        <v>1062</v>
      </c>
      <c r="B1071" s="13" t="s">
        <v>1423</v>
      </c>
      <c r="C1071" s="32" t="s">
        <v>104</v>
      </c>
      <c r="D1071" s="30" t="s">
        <v>1336</v>
      </c>
      <c r="E1071" s="32" t="s">
        <v>1335</v>
      </c>
      <c r="F1071" s="33">
        <v>46007</v>
      </c>
      <c r="G1071" s="32" t="s">
        <v>20</v>
      </c>
      <c r="H1071" s="33"/>
      <c r="I1071" s="32" t="s">
        <v>304</v>
      </c>
      <c r="J1071" s="13" t="s">
        <v>305</v>
      </c>
      <c r="K1071" s="30"/>
    </row>
    <row r="1072" spans="1:11" ht="28.9">
      <c r="A1072" s="29">
        <f>_xlfn.AGGREGATE(3,1,$B$6:B1070)</f>
        <v>1063</v>
      </c>
      <c r="B1072" s="13" t="s">
        <v>1423</v>
      </c>
      <c r="C1072" s="32" t="s">
        <v>104</v>
      </c>
      <c r="D1072" s="30" t="s">
        <v>1425</v>
      </c>
      <c r="E1072" s="32" t="s">
        <v>1335</v>
      </c>
      <c r="F1072" s="33">
        <v>46007</v>
      </c>
      <c r="G1072" s="32" t="s">
        <v>20</v>
      </c>
      <c r="H1072" s="33"/>
      <c r="I1072" s="32" t="s">
        <v>304</v>
      </c>
      <c r="J1072" s="13" t="s">
        <v>305</v>
      </c>
      <c r="K1072" s="30"/>
    </row>
    <row r="1073" spans="1:11" ht="57.6">
      <c r="A1073" s="12">
        <f>_xlfn.AGGREGATE(3,1,$B$6:B1071)</f>
        <v>1064</v>
      </c>
      <c r="B1073" s="13" t="s">
        <v>1423</v>
      </c>
      <c r="C1073" s="32" t="s">
        <v>104</v>
      </c>
      <c r="D1073" s="16" t="s">
        <v>1426</v>
      </c>
      <c r="E1073" s="32" t="s">
        <v>1335</v>
      </c>
      <c r="F1073" s="33">
        <v>46007</v>
      </c>
      <c r="G1073" s="32" t="s">
        <v>20</v>
      </c>
      <c r="H1073" s="26"/>
      <c r="I1073" s="32" t="s">
        <v>304</v>
      </c>
      <c r="J1073" s="13" t="s">
        <v>305</v>
      </c>
      <c r="K1073" s="16"/>
    </row>
    <row r="1074" spans="1:11" ht="28.9">
      <c r="A1074" s="29">
        <f>_xlfn.AGGREGATE(3,1,$B$6:B1072)</f>
        <v>1065</v>
      </c>
      <c r="B1074" s="13" t="s">
        <v>1423</v>
      </c>
      <c r="C1074" s="32" t="s">
        <v>937</v>
      </c>
      <c r="D1074" s="30" t="s">
        <v>1427</v>
      </c>
      <c r="E1074" s="32" t="s">
        <v>1335</v>
      </c>
      <c r="F1074" s="33">
        <v>46007</v>
      </c>
      <c r="G1074" s="32" t="s">
        <v>20</v>
      </c>
      <c r="H1074" s="33"/>
      <c r="I1074" s="32" t="s">
        <v>684</v>
      </c>
      <c r="J1074" s="13" t="s">
        <v>305</v>
      </c>
      <c r="K1074" s="30"/>
    </row>
    <row r="1075" spans="1:11" ht="28.9">
      <c r="A1075" s="29">
        <f>_xlfn.AGGREGATE(3,1,$B$6:B1073)</f>
        <v>1066</v>
      </c>
      <c r="B1075" s="13" t="s">
        <v>1423</v>
      </c>
      <c r="C1075" s="32" t="s">
        <v>107</v>
      </c>
      <c r="D1075" s="30" t="s">
        <v>1428</v>
      </c>
      <c r="E1075" s="32" t="s">
        <v>1335</v>
      </c>
      <c r="F1075" s="33">
        <v>46007</v>
      </c>
      <c r="G1075" s="32" t="s">
        <v>16</v>
      </c>
      <c r="H1075" s="33"/>
      <c r="I1075" s="32" t="s">
        <v>304</v>
      </c>
      <c r="J1075" s="13" t="s">
        <v>305</v>
      </c>
      <c r="K1075" s="30"/>
    </row>
    <row r="1076" spans="1:11" ht="28.9">
      <c r="A1076" s="29">
        <f>_xlfn.AGGREGATE(3,1,$B$6:B1074)</f>
        <v>1067</v>
      </c>
      <c r="B1076" s="13" t="s">
        <v>1423</v>
      </c>
      <c r="C1076" s="32" t="s">
        <v>107</v>
      </c>
      <c r="D1076" s="30" t="s">
        <v>1337</v>
      </c>
      <c r="E1076" s="32" t="s">
        <v>1335</v>
      </c>
      <c r="F1076" s="33">
        <v>46007</v>
      </c>
      <c r="G1076" s="32" t="s">
        <v>20</v>
      </c>
      <c r="H1076" s="33"/>
      <c r="I1076" s="32" t="s">
        <v>304</v>
      </c>
      <c r="J1076" s="13" t="s">
        <v>305</v>
      </c>
      <c r="K1076" s="30"/>
    </row>
    <row r="1077" spans="1:11" ht="28.9">
      <c r="A1077" s="29">
        <f>_xlfn.AGGREGATE(3,1,$B$6:B1075)</f>
        <v>1068</v>
      </c>
      <c r="B1077" s="13" t="s">
        <v>1423</v>
      </c>
      <c r="C1077" s="32" t="s">
        <v>107</v>
      </c>
      <c r="D1077" s="30" t="s">
        <v>1429</v>
      </c>
      <c r="E1077" s="32" t="s">
        <v>1335</v>
      </c>
      <c r="F1077" s="33">
        <v>46007</v>
      </c>
      <c r="G1077" s="32" t="s">
        <v>16</v>
      </c>
      <c r="H1077" s="33"/>
      <c r="I1077" s="32" t="s">
        <v>304</v>
      </c>
      <c r="J1077" s="13" t="s">
        <v>305</v>
      </c>
      <c r="K1077" s="30"/>
    </row>
    <row r="1078" spans="1:11">
      <c r="A1078" s="29">
        <f>_xlfn.AGGREGATE(3,1,$B$6:B1076)</f>
        <v>1069</v>
      </c>
      <c r="B1078" s="13" t="s">
        <v>1423</v>
      </c>
      <c r="C1078" s="32" t="s">
        <v>1051</v>
      </c>
      <c r="D1078" s="30" t="s">
        <v>1334</v>
      </c>
      <c r="E1078" s="32" t="s">
        <v>1335</v>
      </c>
      <c r="F1078" s="33">
        <v>46007</v>
      </c>
      <c r="G1078" s="32" t="s">
        <v>20</v>
      </c>
      <c r="H1078" s="33"/>
      <c r="I1078" s="32" t="s">
        <v>304</v>
      </c>
      <c r="J1078" s="13" t="s">
        <v>305</v>
      </c>
      <c r="K1078" s="30"/>
    </row>
    <row r="1079" spans="1:11" ht="28.9">
      <c r="A1079" s="29">
        <f>_xlfn.AGGREGATE(3,1,$B$6:B1077)</f>
        <v>1070</v>
      </c>
      <c r="B1079" s="13" t="s">
        <v>1423</v>
      </c>
      <c r="C1079" s="32" t="s">
        <v>1430</v>
      </c>
      <c r="D1079" s="30" t="s">
        <v>1289</v>
      </c>
      <c r="E1079" s="32" t="s">
        <v>1339</v>
      </c>
      <c r="F1079" s="33">
        <v>46007</v>
      </c>
      <c r="G1079" s="32" t="s">
        <v>16</v>
      </c>
      <c r="H1079" s="33"/>
      <c r="I1079" s="32" t="s">
        <v>684</v>
      </c>
      <c r="J1079" s="13" t="s">
        <v>305</v>
      </c>
      <c r="K1079" s="30"/>
    </row>
    <row r="1080" spans="1:11" ht="28.9">
      <c r="A1080" s="29">
        <f>_xlfn.AGGREGATE(3,1,$B$6:B1078)</f>
        <v>1071</v>
      </c>
      <c r="B1080" s="13" t="s">
        <v>1423</v>
      </c>
      <c r="C1080" s="32" t="s">
        <v>1342</v>
      </c>
      <c r="D1080" s="30" t="s">
        <v>1431</v>
      </c>
      <c r="E1080" s="32" t="s">
        <v>1339</v>
      </c>
      <c r="F1080" s="33">
        <v>46007</v>
      </c>
      <c r="G1080" s="32" t="s">
        <v>20</v>
      </c>
      <c r="H1080" s="33"/>
      <c r="I1080" s="32" t="s">
        <v>684</v>
      </c>
      <c r="J1080" s="13" t="s">
        <v>305</v>
      </c>
      <c r="K1080" s="30"/>
    </row>
    <row r="1081" spans="1:11" ht="28.9">
      <c r="A1081" s="12">
        <f>_xlfn.AGGREGATE(3,1,$B$6:B1079)</f>
        <v>1072</v>
      </c>
      <c r="B1081" s="13" t="s">
        <v>1423</v>
      </c>
      <c r="C1081" s="13" t="s">
        <v>1432</v>
      </c>
      <c r="D1081" s="16" t="s">
        <v>1433</v>
      </c>
      <c r="E1081" s="32" t="s">
        <v>1339</v>
      </c>
      <c r="F1081" s="33">
        <v>46007</v>
      </c>
      <c r="G1081" s="32" t="s">
        <v>16</v>
      </c>
      <c r="H1081" s="26"/>
      <c r="I1081" s="32" t="s">
        <v>684</v>
      </c>
      <c r="J1081" s="13" t="s">
        <v>305</v>
      </c>
      <c r="K1081" s="16"/>
    </row>
    <row r="1082" spans="1:11">
      <c r="A1082" s="29">
        <f>_xlfn.AGGREGATE(3,1,$B$6:B1080)</f>
        <v>1073</v>
      </c>
      <c r="B1082" s="13" t="s">
        <v>1423</v>
      </c>
      <c r="C1082" s="32" t="s">
        <v>1051</v>
      </c>
      <c r="D1082" s="30" t="s">
        <v>1434</v>
      </c>
      <c r="E1082" s="32" t="s">
        <v>1339</v>
      </c>
      <c r="F1082" s="33">
        <v>46007</v>
      </c>
      <c r="G1082" s="32" t="s">
        <v>20</v>
      </c>
      <c r="H1082" s="33"/>
      <c r="I1082" s="32" t="s">
        <v>304</v>
      </c>
      <c r="J1082" s="13" t="s">
        <v>305</v>
      </c>
      <c r="K1082" s="30"/>
    </row>
    <row r="1083" spans="1:11">
      <c r="A1083" s="29">
        <f>_xlfn.AGGREGATE(3,1,$B$6:B1081)</f>
        <v>1074</v>
      </c>
      <c r="B1083" s="13" t="s">
        <v>1423</v>
      </c>
      <c r="C1083" s="32" t="s">
        <v>1183</v>
      </c>
      <c r="D1083" s="30" t="s">
        <v>1340</v>
      </c>
      <c r="E1083" s="32" t="s">
        <v>1339</v>
      </c>
      <c r="F1083" s="33">
        <v>46007</v>
      </c>
      <c r="G1083" s="32" t="s">
        <v>77</v>
      </c>
      <c r="H1083" s="33"/>
      <c r="I1083" s="32" t="s">
        <v>304</v>
      </c>
      <c r="J1083" s="13" t="s">
        <v>305</v>
      </c>
      <c r="K1083" s="30"/>
    </row>
    <row r="1084" spans="1:11" ht="43.15">
      <c r="A1084" s="29">
        <f>_xlfn.AGGREGATE(3,1,$B$6:B1082)</f>
        <v>1075</v>
      </c>
      <c r="B1084" s="13" t="s">
        <v>1423</v>
      </c>
      <c r="C1084" s="32" t="s">
        <v>1345</v>
      </c>
      <c r="D1084" s="30" t="s">
        <v>1435</v>
      </c>
      <c r="E1084" s="32" t="s">
        <v>1339</v>
      </c>
      <c r="F1084" s="33">
        <v>46007</v>
      </c>
      <c r="G1084" s="32" t="s">
        <v>77</v>
      </c>
      <c r="H1084" s="33"/>
      <c r="I1084" s="32" t="s">
        <v>304</v>
      </c>
      <c r="J1084" s="13" t="s">
        <v>305</v>
      </c>
      <c r="K1084" s="30"/>
    </row>
    <row r="1085" spans="1:11" ht="43.15">
      <c r="A1085" s="12">
        <f>_xlfn.AGGREGATE(3,1,$B$6:B1083)</f>
        <v>1076</v>
      </c>
      <c r="B1085" s="13" t="s">
        <v>1423</v>
      </c>
      <c r="C1085" s="13" t="s">
        <v>1051</v>
      </c>
      <c r="D1085" s="16" t="s">
        <v>1436</v>
      </c>
      <c r="E1085" s="13" t="s">
        <v>1437</v>
      </c>
      <c r="F1085" s="33">
        <v>46007</v>
      </c>
      <c r="G1085" s="13" t="s">
        <v>16</v>
      </c>
      <c r="H1085" s="26"/>
      <c r="I1085" s="32" t="s">
        <v>304</v>
      </c>
      <c r="J1085" s="13" t="s">
        <v>305</v>
      </c>
      <c r="K1085" s="16"/>
    </row>
    <row r="1086" spans="1:11" ht="28.9">
      <c r="A1086" s="29">
        <f>_xlfn.AGGREGATE(3,1,$B$6:B1084)</f>
        <v>1077</v>
      </c>
      <c r="B1086" s="13" t="s">
        <v>1423</v>
      </c>
      <c r="C1086" s="32" t="s">
        <v>107</v>
      </c>
      <c r="D1086" s="30" t="s">
        <v>1282</v>
      </c>
      <c r="E1086" s="13" t="s">
        <v>1437</v>
      </c>
      <c r="F1086" s="33">
        <v>46007</v>
      </c>
      <c r="G1086" s="13" t="s">
        <v>16</v>
      </c>
      <c r="H1086" s="33"/>
      <c r="I1086" s="32" t="s">
        <v>304</v>
      </c>
      <c r="J1086" s="13" t="s">
        <v>305</v>
      </c>
      <c r="K1086" s="30"/>
    </row>
    <row r="1087" spans="1:11" ht="28.9">
      <c r="A1087" s="29">
        <f>_xlfn.AGGREGATE(3,1,$B$6:B1085)</f>
        <v>1078</v>
      </c>
      <c r="B1087" s="13" t="s">
        <v>1423</v>
      </c>
      <c r="C1087" s="32" t="s">
        <v>107</v>
      </c>
      <c r="D1087" s="30" t="s">
        <v>1438</v>
      </c>
      <c r="E1087" s="13" t="s">
        <v>1437</v>
      </c>
      <c r="F1087" s="33">
        <v>46007</v>
      </c>
      <c r="G1087" s="32" t="s">
        <v>77</v>
      </c>
      <c r="H1087" s="33"/>
      <c r="I1087" s="32" t="s">
        <v>304</v>
      </c>
      <c r="J1087" s="13" t="s">
        <v>305</v>
      </c>
      <c r="K1087" s="30"/>
    </row>
    <row r="1088" spans="1:11" ht="43.15">
      <c r="A1088" s="29">
        <f>_xlfn.AGGREGATE(3,1,$B$6:B1086)</f>
        <v>1079</v>
      </c>
      <c r="B1088" s="13" t="s">
        <v>1423</v>
      </c>
      <c r="C1088" s="32" t="s">
        <v>47</v>
      </c>
      <c r="D1088" s="30" t="s">
        <v>1439</v>
      </c>
      <c r="E1088" s="32" t="s">
        <v>1440</v>
      </c>
      <c r="F1088" s="33">
        <v>46007</v>
      </c>
      <c r="G1088" s="32" t="s">
        <v>20</v>
      </c>
      <c r="H1088" s="33"/>
      <c r="I1088" s="32" t="s">
        <v>304</v>
      </c>
      <c r="J1088" s="13" t="s">
        <v>305</v>
      </c>
      <c r="K1088" s="30"/>
    </row>
    <row r="1089" spans="1:11" ht="28.9">
      <c r="A1089" s="29">
        <f>_xlfn.AGGREGATE(3,1,$B$6:B1087)</f>
        <v>1080</v>
      </c>
      <c r="B1089" s="13" t="s">
        <v>1441</v>
      </c>
      <c r="C1089" s="32" t="s">
        <v>1442</v>
      </c>
      <c r="D1089" s="30" t="s">
        <v>1443</v>
      </c>
      <c r="E1089" s="32" t="s">
        <v>1437</v>
      </c>
      <c r="F1089" s="33">
        <v>46003</v>
      </c>
      <c r="G1089" s="32" t="s">
        <v>20</v>
      </c>
      <c r="H1089" s="33"/>
      <c r="I1089" s="32" t="s">
        <v>304</v>
      </c>
      <c r="J1089" s="13" t="s">
        <v>305</v>
      </c>
      <c r="K1089" s="30"/>
    </row>
    <row r="1090" spans="1:11">
      <c r="A1090" s="29">
        <f>_xlfn.AGGREGATE(3,1,$B$6:B1088)</f>
        <v>1081</v>
      </c>
      <c r="B1090" s="13" t="s">
        <v>1444</v>
      </c>
      <c r="C1090" s="32" t="s">
        <v>1051</v>
      </c>
      <c r="D1090" s="30" t="s">
        <v>1280</v>
      </c>
      <c r="E1090" s="32" t="s">
        <v>1053</v>
      </c>
      <c r="F1090" s="33">
        <v>46008</v>
      </c>
      <c r="G1090" s="32" t="s">
        <v>20</v>
      </c>
      <c r="H1090" s="33"/>
      <c r="I1090" s="32" t="s">
        <v>304</v>
      </c>
      <c r="J1090" s="13" t="s">
        <v>305</v>
      </c>
      <c r="K1090" s="30"/>
    </row>
    <row r="1091" spans="1:11" ht="43.15">
      <c r="A1091" s="12">
        <f>_xlfn.AGGREGATE(3,1,$B$6:B1089)</f>
        <v>1082</v>
      </c>
      <c r="B1091" s="13" t="s">
        <v>1444</v>
      </c>
      <c r="C1091" s="32" t="s">
        <v>1051</v>
      </c>
      <c r="D1091" s="16" t="s">
        <v>1445</v>
      </c>
      <c r="E1091" s="32" t="s">
        <v>1053</v>
      </c>
      <c r="F1091" s="33">
        <v>46008</v>
      </c>
      <c r="G1091" s="32" t="s">
        <v>20</v>
      </c>
      <c r="H1091" s="26"/>
      <c r="I1091" s="32" t="s">
        <v>304</v>
      </c>
      <c r="J1091" s="13" t="s">
        <v>305</v>
      </c>
      <c r="K1091" s="16"/>
    </row>
    <row r="1092" spans="1:11" ht="28.9">
      <c r="A1092" s="29">
        <f>_xlfn.AGGREGATE(3,1,$B$6:B1090)</f>
        <v>1083</v>
      </c>
      <c r="B1092" s="13" t="s">
        <v>1444</v>
      </c>
      <c r="C1092" s="32" t="s">
        <v>1051</v>
      </c>
      <c r="D1092" s="30" t="s">
        <v>1446</v>
      </c>
      <c r="E1092" s="32" t="s">
        <v>1053</v>
      </c>
      <c r="F1092" s="33">
        <v>46008</v>
      </c>
      <c r="G1092" s="32" t="s">
        <v>16</v>
      </c>
      <c r="H1092" s="33"/>
      <c r="I1092" s="32" t="s">
        <v>304</v>
      </c>
      <c r="J1092" s="13" t="s">
        <v>305</v>
      </c>
      <c r="K1092" s="30"/>
    </row>
    <row r="1093" spans="1:11" ht="28.9">
      <c r="A1093" s="29">
        <f>_xlfn.AGGREGATE(3,1,$B$6:B1091)</f>
        <v>1084</v>
      </c>
      <c r="B1093" s="13" t="s">
        <v>1444</v>
      </c>
      <c r="C1093" s="32" t="s">
        <v>1051</v>
      </c>
      <c r="D1093" s="30" t="s">
        <v>1447</v>
      </c>
      <c r="E1093" s="32" t="s">
        <v>1053</v>
      </c>
      <c r="F1093" s="33">
        <v>46008</v>
      </c>
      <c r="G1093" s="32" t="s">
        <v>20</v>
      </c>
      <c r="H1093" s="33"/>
      <c r="I1093" s="32" t="s">
        <v>304</v>
      </c>
      <c r="J1093" s="13" t="s">
        <v>305</v>
      </c>
      <c r="K1093" s="30"/>
    </row>
    <row r="1094" spans="1:11" ht="28.9">
      <c r="A1094" s="29">
        <f>_xlfn.AGGREGATE(3,1,$B$6:B1092)</f>
        <v>1085</v>
      </c>
      <c r="B1094" s="13" t="s">
        <v>1444</v>
      </c>
      <c r="C1094" s="32" t="s">
        <v>1223</v>
      </c>
      <c r="D1094" s="30" t="s">
        <v>1276</v>
      </c>
      <c r="E1094" s="32" t="s">
        <v>1053</v>
      </c>
      <c r="F1094" s="33">
        <v>46008</v>
      </c>
      <c r="G1094" s="32" t="s">
        <v>16</v>
      </c>
      <c r="H1094" s="33"/>
      <c r="I1094" s="32" t="s">
        <v>684</v>
      </c>
      <c r="J1094" s="13" t="s">
        <v>305</v>
      </c>
      <c r="K1094" s="30"/>
    </row>
    <row r="1095" spans="1:11" ht="28.9">
      <c r="A1095" s="29">
        <f>_xlfn.AGGREGATE(3,1,$B$6:B1093)</f>
        <v>1086</v>
      </c>
      <c r="B1095" s="13" t="s">
        <v>1444</v>
      </c>
      <c r="C1095" s="32" t="s">
        <v>1051</v>
      </c>
      <c r="D1095" s="30" t="s">
        <v>1287</v>
      </c>
      <c r="E1095" s="32" t="s">
        <v>1285</v>
      </c>
      <c r="F1095" s="33">
        <v>46008</v>
      </c>
      <c r="G1095" s="32" t="s">
        <v>20</v>
      </c>
      <c r="H1095" s="33"/>
      <c r="I1095" s="32" t="s">
        <v>304</v>
      </c>
      <c r="J1095" s="13" t="s">
        <v>305</v>
      </c>
      <c r="K1095" s="30"/>
    </row>
    <row r="1096" spans="1:11" ht="43.15">
      <c r="A1096" s="29">
        <f>_xlfn.AGGREGATE(3,1,$B$6:B1094)</f>
        <v>1087</v>
      </c>
      <c r="B1096" s="13" t="s">
        <v>1444</v>
      </c>
      <c r="C1096" s="32" t="s">
        <v>1051</v>
      </c>
      <c r="D1096" s="30" t="s">
        <v>1284</v>
      </c>
      <c r="E1096" s="32" t="s">
        <v>1285</v>
      </c>
      <c r="F1096" s="33">
        <v>46008</v>
      </c>
      <c r="G1096" s="32" t="s">
        <v>20</v>
      </c>
      <c r="H1096" s="33"/>
      <c r="I1096" s="32" t="s">
        <v>304</v>
      </c>
      <c r="J1096" s="13" t="s">
        <v>305</v>
      </c>
      <c r="K1096" s="30"/>
    </row>
    <row r="1097" spans="1:11" ht="28.9">
      <c r="A1097" s="29">
        <f>_xlfn.AGGREGATE(3,1,$B$6:B1095)</f>
        <v>1088</v>
      </c>
      <c r="B1097" s="13" t="s">
        <v>1444</v>
      </c>
      <c r="C1097" s="32" t="s">
        <v>1039</v>
      </c>
      <c r="D1097" s="30" t="s">
        <v>1276</v>
      </c>
      <c r="E1097" s="32" t="s">
        <v>1285</v>
      </c>
      <c r="F1097" s="33">
        <v>46008</v>
      </c>
      <c r="G1097" s="32" t="s">
        <v>16</v>
      </c>
      <c r="H1097" s="33"/>
      <c r="I1097" s="32" t="s">
        <v>684</v>
      </c>
      <c r="J1097" s="13" t="s">
        <v>305</v>
      </c>
      <c r="K1097" s="30"/>
    </row>
    <row r="1098" spans="1:11" ht="43.15">
      <c r="A1098" s="29">
        <f>_xlfn.AGGREGATE(3,1,$B$6:B1096)</f>
        <v>1089</v>
      </c>
      <c r="B1098" s="13" t="s">
        <v>1444</v>
      </c>
      <c r="C1098" s="32" t="s">
        <v>107</v>
      </c>
      <c r="D1098" s="30" t="s">
        <v>1350</v>
      </c>
      <c r="E1098" s="32" t="s">
        <v>1285</v>
      </c>
      <c r="F1098" s="33">
        <v>46008</v>
      </c>
      <c r="G1098" s="32" t="s">
        <v>16</v>
      </c>
      <c r="H1098" s="33"/>
      <c r="I1098" s="32" t="s">
        <v>304</v>
      </c>
      <c r="J1098" s="13" t="s">
        <v>305</v>
      </c>
      <c r="K1098" s="30"/>
    </row>
    <row r="1099" spans="1:11">
      <c r="A1099" s="29">
        <f>_xlfn.AGGREGATE(3,1,$B$6:B1097)</f>
        <v>1090</v>
      </c>
      <c r="B1099" s="13" t="s">
        <v>1444</v>
      </c>
      <c r="C1099" s="32" t="s">
        <v>1051</v>
      </c>
      <c r="D1099" s="30" t="s">
        <v>1221</v>
      </c>
      <c r="E1099" s="32" t="s">
        <v>1285</v>
      </c>
      <c r="F1099" s="33">
        <v>46008</v>
      </c>
      <c r="G1099" s="32" t="s">
        <v>20</v>
      </c>
      <c r="H1099" s="33"/>
      <c r="I1099" s="32" t="s">
        <v>304</v>
      </c>
      <c r="J1099" s="13" t="s">
        <v>305</v>
      </c>
      <c r="K1099" s="30"/>
    </row>
    <row r="1100" spans="1:11" ht="28.9">
      <c r="A1100" s="29">
        <f>_xlfn.AGGREGATE(3,1,$B$6:B1098)</f>
        <v>1091</v>
      </c>
      <c r="B1100" s="13" t="s">
        <v>1444</v>
      </c>
      <c r="C1100" s="32" t="s">
        <v>107</v>
      </c>
      <c r="D1100" s="30" t="s">
        <v>1282</v>
      </c>
      <c r="E1100" s="32" t="s">
        <v>1285</v>
      </c>
      <c r="F1100" s="33">
        <v>46008</v>
      </c>
      <c r="G1100" s="32" t="s">
        <v>16</v>
      </c>
      <c r="H1100" s="33"/>
      <c r="I1100" s="32" t="s">
        <v>304</v>
      </c>
      <c r="J1100" s="13" t="s">
        <v>305</v>
      </c>
      <c r="K1100" s="30"/>
    </row>
    <row r="1101" spans="1:11" ht="28.9">
      <c r="A1101" s="29">
        <f>_xlfn.AGGREGATE(3,1,$B$6:B1099)</f>
        <v>1092</v>
      </c>
      <c r="B1101" s="13" t="s">
        <v>1444</v>
      </c>
      <c r="C1101" s="32" t="s">
        <v>1264</v>
      </c>
      <c r="D1101" s="30" t="s">
        <v>1276</v>
      </c>
      <c r="E1101" s="32" t="s">
        <v>1379</v>
      </c>
      <c r="F1101" s="33">
        <v>46008</v>
      </c>
      <c r="G1101" s="32" t="s">
        <v>16</v>
      </c>
      <c r="H1101" s="33"/>
      <c r="I1101" s="32" t="s">
        <v>684</v>
      </c>
      <c r="J1101" s="13" t="s">
        <v>305</v>
      </c>
      <c r="K1101" s="30"/>
    </row>
    <row r="1102" spans="1:11" ht="28.9">
      <c r="A1102" s="29">
        <f>_xlfn.AGGREGATE(3,1,$B$6:B1100)</f>
        <v>1093</v>
      </c>
      <c r="B1102" s="13" t="s">
        <v>1444</v>
      </c>
      <c r="C1102" s="32" t="s">
        <v>1051</v>
      </c>
      <c r="D1102" s="30" t="s">
        <v>1448</v>
      </c>
      <c r="E1102" s="32" t="s">
        <v>1379</v>
      </c>
      <c r="F1102" s="33">
        <v>46008</v>
      </c>
      <c r="G1102" s="32" t="s">
        <v>16</v>
      </c>
      <c r="H1102" s="33"/>
      <c r="I1102" s="32" t="s">
        <v>304</v>
      </c>
      <c r="J1102" s="13" t="s">
        <v>305</v>
      </c>
      <c r="K1102" s="30"/>
    </row>
    <row r="1103" spans="1:11">
      <c r="A1103" s="29">
        <f>_xlfn.AGGREGATE(3,1,$B$6:B1101)</f>
        <v>1094</v>
      </c>
      <c r="B1103" s="13" t="s">
        <v>1444</v>
      </c>
      <c r="C1103" s="32" t="s">
        <v>1051</v>
      </c>
      <c r="D1103" s="30" t="s">
        <v>1221</v>
      </c>
      <c r="E1103" s="32" t="s">
        <v>1379</v>
      </c>
      <c r="F1103" s="33">
        <v>46008</v>
      </c>
      <c r="G1103" s="32" t="s">
        <v>20</v>
      </c>
      <c r="H1103" s="33"/>
      <c r="I1103" s="32" t="s">
        <v>304</v>
      </c>
      <c r="J1103" s="13" t="s">
        <v>305</v>
      </c>
      <c r="K1103" s="30"/>
    </row>
    <row r="1104" spans="1:11" ht="28.9">
      <c r="A1104" s="29">
        <f>_xlfn.AGGREGATE(3,1,$B$6:B1102)</f>
        <v>1095</v>
      </c>
      <c r="B1104" s="13" t="s">
        <v>1449</v>
      </c>
      <c r="C1104" s="32" t="s">
        <v>47</v>
      </c>
      <c r="D1104" s="30" t="s">
        <v>1450</v>
      </c>
      <c r="E1104" s="32" t="s">
        <v>183</v>
      </c>
      <c r="F1104" s="33">
        <v>46009</v>
      </c>
      <c r="G1104" s="32" t="s">
        <v>20</v>
      </c>
      <c r="H1104" s="33"/>
      <c r="I1104" s="32" t="s">
        <v>684</v>
      </c>
      <c r="J1104" s="13" t="s">
        <v>18</v>
      </c>
      <c r="K1104" s="30"/>
    </row>
    <row r="1105" spans="1:11" ht="28.9">
      <c r="A1105" s="12">
        <f>_xlfn.AGGREGATE(3,1,$B$6:B1103)</f>
        <v>1096</v>
      </c>
      <c r="B1105" s="13" t="s">
        <v>1449</v>
      </c>
      <c r="C1105" s="32" t="s">
        <v>47</v>
      </c>
      <c r="D1105" s="16" t="s">
        <v>1451</v>
      </c>
      <c r="E1105" s="32" t="s">
        <v>183</v>
      </c>
      <c r="F1105" s="33">
        <v>46009</v>
      </c>
      <c r="G1105" s="32" t="s">
        <v>20</v>
      </c>
      <c r="H1105" s="26"/>
      <c r="I1105" s="32" t="s">
        <v>684</v>
      </c>
      <c r="J1105" s="13" t="s">
        <v>18</v>
      </c>
      <c r="K1105" s="16"/>
    </row>
    <row r="1106" spans="1:11" ht="100.9">
      <c r="A1106" s="29">
        <f>_xlfn.AGGREGATE(3,1,$B$6:B1104)</f>
        <v>1097</v>
      </c>
      <c r="B1106" s="13" t="s">
        <v>1452</v>
      </c>
      <c r="C1106" s="32" t="s">
        <v>1453</v>
      </c>
      <c r="D1106" s="30" t="s">
        <v>1454</v>
      </c>
      <c r="E1106" s="32" t="s">
        <v>183</v>
      </c>
      <c r="F1106" s="33">
        <v>46014</v>
      </c>
      <c r="G1106" s="32" t="s">
        <v>20</v>
      </c>
      <c r="H1106" s="33"/>
      <c r="I1106" s="32" t="s">
        <v>684</v>
      </c>
      <c r="J1106" s="13" t="s">
        <v>305</v>
      </c>
      <c r="K1106" s="30"/>
    </row>
    <row r="1107" spans="1:11" ht="43.15">
      <c r="A1107" s="29">
        <f>_xlfn.AGGREGATE(3,1,$B$6:B1105)</f>
        <v>1098</v>
      </c>
      <c r="B1107" s="13" t="s">
        <v>1452</v>
      </c>
      <c r="C1107" s="32" t="s">
        <v>1455</v>
      </c>
      <c r="D1107" s="30" t="s">
        <v>1456</v>
      </c>
      <c r="E1107" s="32" t="s">
        <v>183</v>
      </c>
      <c r="F1107" s="33">
        <v>46014</v>
      </c>
      <c r="G1107" s="32" t="s">
        <v>20</v>
      </c>
      <c r="H1107" s="33"/>
      <c r="I1107" s="32" t="s">
        <v>684</v>
      </c>
      <c r="J1107" s="13" t="s">
        <v>305</v>
      </c>
      <c r="K1107" s="30"/>
    </row>
    <row r="1108" spans="1:11" ht="43.15">
      <c r="A1108" s="29">
        <f>_xlfn.AGGREGATE(3,1,$B$6:B1106)</f>
        <v>1099</v>
      </c>
      <c r="B1108" s="13" t="s">
        <v>1457</v>
      </c>
      <c r="C1108" s="32" t="s">
        <v>1051</v>
      </c>
      <c r="D1108" s="30" t="s">
        <v>1458</v>
      </c>
      <c r="E1108" s="32" t="s">
        <v>1092</v>
      </c>
      <c r="F1108" s="33">
        <v>46014</v>
      </c>
      <c r="G1108" s="32" t="s">
        <v>20</v>
      </c>
      <c r="H1108" s="33"/>
      <c r="I1108" s="32" t="s">
        <v>304</v>
      </c>
      <c r="J1108" s="13" t="s">
        <v>305</v>
      </c>
      <c r="K1108" s="30"/>
    </row>
    <row r="1109" spans="1:11" ht="43.15">
      <c r="A1109" s="29">
        <f>_xlfn.AGGREGATE(3,1,$B$6:B1107)</f>
        <v>1100</v>
      </c>
      <c r="B1109" s="13" t="s">
        <v>1457</v>
      </c>
      <c r="C1109" s="32" t="s">
        <v>1051</v>
      </c>
      <c r="D1109" s="30" t="s">
        <v>1381</v>
      </c>
      <c r="E1109" s="32" t="s">
        <v>1092</v>
      </c>
      <c r="F1109" s="33">
        <v>46014</v>
      </c>
      <c r="G1109" s="32" t="s">
        <v>16</v>
      </c>
      <c r="H1109" s="33"/>
      <c r="I1109" s="32" t="s">
        <v>304</v>
      </c>
      <c r="J1109" s="13" t="s">
        <v>305</v>
      </c>
      <c r="K1109" s="30"/>
    </row>
    <row r="1110" spans="1:11" ht="28.9">
      <c r="A1110" s="29">
        <f>_xlfn.AGGREGATE(3,1,$B$6:B1108)</f>
        <v>1101</v>
      </c>
      <c r="B1110" s="13" t="s">
        <v>1457</v>
      </c>
      <c r="C1110" s="32" t="s">
        <v>1400</v>
      </c>
      <c r="D1110" s="30" t="s">
        <v>1267</v>
      </c>
      <c r="E1110" s="32" t="s">
        <v>388</v>
      </c>
      <c r="F1110" s="33">
        <v>46014</v>
      </c>
      <c r="G1110" s="32" t="s">
        <v>20</v>
      </c>
      <c r="H1110" s="33"/>
      <c r="I1110" s="32" t="s">
        <v>304</v>
      </c>
      <c r="J1110" s="13" t="s">
        <v>305</v>
      </c>
      <c r="K1110" s="30"/>
    </row>
    <row r="1111" spans="1:11" ht="43.15">
      <c r="A1111" s="29">
        <f>_xlfn.AGGREGATE(3,1,$B$6:B1109)</f>
        <v>1102</v>
      </c>
      <c r="B1111" s="13" t="s">
        <v>1457</v>
      </c>
      <c r="C1111" s="32" t="s">
        <v>1051</v>
      </c>
      <c r="D1111" s="30" t="s">
        <v>1459</v>
      </c>
      <c r="E1111" s="32" t="s">
        <v>388</v>
      </c>
      <c r="F1111" s="33">
        <v>46014</v>
      </c>
      <c r="G1111" s="32" t="s">
        <v>16</v>
      </c>
      <c r="H1111" s="33"/>
      <c r="I1111" s="32" t="s">
        <v>304</v>
      </c>
      <c r="J1111" s="13" t="s">
        <v>305</v>
      </c>
      <c r="K1111" s="30"/>
    </row>
    <row r="1112" spans="1:11" ht="28.9">
      <c r="A1112" s="29">
        <f>_xlfn.AGGREGATE(3,1,$B$6:B1110)</f>
        <v>1103</v>
      </c>
      <c r="B1112" s="13" t="s">
        <v>1457</v>
      </c>
      <c r="C1112" s="32" t="s">
        <v>1371</v>
      </c>
      <c r="D1112" s="30" t="s">
        <v>1460</v>
      </c>
      <c r="E1112" s="32" t="s">
        <v>388</v>
      </c>
      <c r="F1112" s="33">
        <v>46014</v>
      </c>
      <c r="G1112" s="32" t="s">
        <v>16</v>
      </c>
      <c r="H1112" s="33"/>
      <c r="I1112" s="32" t="s">
        <v>684</v>
      </c>
      <c r="J1112" s="13" t="s">
        <v>305</v>
      </c>
      <c r="K1112" s="30"/>
    </row>
    <row r="1113" spans="1:11" ht="28.9">
      <c r="A1113" s="29">
        <f>_xlfn.AGGREGATE(3,1,$B$6:B1111)</f>
        <v>1104</v>
      </c>
      <c r="B1113" s="13" t="s">
        <v>1457</v>
      </c>
      <c r="C1113" s="32" t="s">
        <v>47</v>
      </c>
      <c r="D1113" s="30" t="s">
        <v>1461</v>
      </c>
      <c r="E1113" s="32" t="s">
        <v>1394</v>
      </c>
      <c r="F1113" s="33">
        <v>46014</v>
      </c>
      <c r="G1113" s="32" t="s">
        <v>16</v>
      </c>
      <c r="H1113" s="33"/>
      <c r="I1113" s="32" t="s">
        <v>304</v>
      </c>
      <c r="J1113" s="13" t="s">
        <v>305</v>
      </c>
      <c r="K1113" s="30"/>
    </row>
    <row r="1114" spans="1:11" ht="28.9">
      <c r="A1114" s="29">
        <f>_xlfn.AGGREGATE(3,1,$B$6:B1112)</f>
        <v>1105</v>
      </c>
      <c r="B1114" s="13" t="s">
        <v>1457</v>
      </c>
      <c r="C1114" s="32" t="s">
        <v>47</v>
      </c>
      <c r="D1114" s="16" t="s">
        <v>1462</v>
      </c>
      <c r="E1114" s="32" t="s">
        <v>1394</v>
      </c>
      <c r="F1114" s="33">
        <v>46014</v>
      </c>
      <c r="G1114" s="32" t="s">
        <v>16</v>
      </c>
      <c r="H1114" s="26"/>
      <c r="I1114" s="32" t="s">
        <v>304</v>
      </c>
      <c r="J1114" s="13" t="s">
        <v>305</v>
      </c>
      <c r="K1114" s="16"/>
    </row>
    <row r="1115" spans="1:11" ht="43.15">
      <c r="A1115" s="29">
        <f>_xlfn.AGGREGATE(3,1,$B$6:B1113)</f>
        <v>1106</v>
      </c>
      <c r="B1115" s="13" t="s">
        <v>1463</v>
      </c>
      <c r="C1115" s="32" t="s">
        <v>107</v>
      </c>
      <c r="D1115" s="30" t="s">
        <v>1464</v>
      </c>
      <c r="E1115" s="32" t="s">
        <v>970</v>
      </c>
      <c r="F1115" s="33">
        <v>46015</v>
      </c>
      <c r="G1115" s="32" t="s">
        <v>16</v>
      </c>
      <c r="H1115" s="33"/>
      <c r="I1115" s="32" t="s">
        <v>304</v>
      </c>
      <c r="J1115" s="13" t="s">
        <v>305</v>
      </c>
      <c r="K1115" s="30"/>
    </row>
    <row r="1116" spans="1:11" ht="43.15">
      <c r="A1116" s="29">
        <f>_xlfn.AGGREGATE(3,1,$B$6:B1114)</f>
        <v>1107</v>
      </c>
      <c r="B1116" s="13" t="s">
        <v>1463</v>
      </c>
      <c r="C1116" s="32" t="s">
        <v>920</v>
      </c>
      <c r="D1116" s="30" t="s">
        <v>1465</v>
      </c>
      <c r="E1116" s="32" t="s">
        <v>970</v>
      </c>
      <c r="F1116" s="33">
        <v>46015</v>
      </c>
      <c r="G1116" s="32" t="s">
        <v>20</v>
      </c>
      <c r="H1116" s="33"/>
      <c r="I1116" s="32" t="s">
        <v>684</v>
      </c>
      <c r="J1116" s="13" t="s">
        <v>305</v>
      </c>
      <c r="K1116" s="30"/>
    </row>
    <row r="1117" spans="1:11" ht="158.44999999999999">
      <c r="A1117" s="29">
        <f>_xlfn.AGGREGATE(3,1,$B$6:B1115)</f>
        <v>1108</v>
      </c>
      <c r="B1117" s="13" t="s">
        <v>1463</v>
      </c>
      <c r="C1117" s="32" t="s">
        <v>104</v>
      </c>
      <c r="D1117" s="30" t="s">
        <v>1466</v>
      </c>
      <c r="E1117" s="32" t="s">
        <v>970</v>
      </c>
      <c r="F1117" s="33">
        <v>46015</v>
      </c>
      <c r="G1117" s="32"/>
      <c r="H1117" s="33"/>
      <c r="I1117" s="32"/>
      <c r="J1117" s="32" t="s">
        <v>18</v>
      </c>
      <c r="K1117" s="30"/>
    </row>
    <row r="1118" spans="1:11" ht="115.15">
      <c r="A1118" s="29">
        <f>_xlfn.AGGREGATE(3,1,$B$6:B1116)</f>
        <v>1109</v>
      </c>
      <c r="B1118" s="13" t="s">
        <v>1463</v>
      </c>
      <c r="C1118" s="32" t="s">
        <v>1467</v>
      </c>
      <c r="D1118" s="30" t="s">
        <v>1468</v>
      </c>
      <c r="E1118" s="32" t="s">
        <v>36</v>
      </c>
      <c r="F1118" s="33">
        <v>46015</v>
      </c>
      <c r="G1118" s="32" t="s">
        <v>16</v>
      </c>
      <c r="H1118" s="33"/>
      <c r="I1118" s="32" t="s">
        <v>684</v>
      </c>
      <c r="J1118" s="32" t="s">
        <v>305</v>
      </c>
      <c r="K1118" s="30"/>
    </row>
    <row r="1119" spans="1:11" ht="43.15">
      <c r="A1119" s="29">
        <f>_xlfn.AGGREGATE(3,1,$B$6:B1117)</f>
        <v>1110</v>
      </c>
      <c r="B1119" s="13" t="s">
        <v>1463</v>
      </c>
      <c r="C1119" s="32" t="s">
        <v>104</v>
      </c>
      <c r="D1119" s="30" t="s">
        <v>1469</v>
      </c>
      <c r="E1119" s="32" t="s">
        <v>38</v>
      </c>
      <c r="F1119" s="33">
        <v>46015</v>
      </c>
      <c r="G1119" s="32" t="s">
        <v>20</v>
      </c>
      <c r="H1119" s="33"/>
      <c r="I1119" s="32" t="s">
        <v>304</v>
      </c>
      <c r="J1119" s="32" t="s">
        <v>305</v>
      </c>
      <c r="K1119" s="30"/>
    </row>
    <row r="1120" spans="1:11" ht="72">
      <c r="A1120" s="29">
        <f>_xlfn.AGGREGATE(3,1,$B$6:B1118)</f>
        <v>1111</v>
      </c>
      <c r="B1120" s="13" t="s">
        <v>1463</v>
      </c>
      <c r="C1120" s="32" t="s">
        <v>908</v>
      </c>
      <c r="D1120" s="30" t="s">
        <v>1470</v>
      </c>
      <c r="E1120" s="32" t="s">
        <v>38</v>
      </c>
      <c r="F1120" s="33">
        <v>46015</v>
      </c>
      <c r="G1120" s="32" t="s">
        <v>16</v>
      </c>
      <c r="H1120" s="33"/>
      <c r="I1120" s="32" t="s">
        <v>684</v>
      </c>
      <c r="J1120" s="32" t="s">
        <v>305</v>
      </c>
      <c r="K1120" s="30"/>
    </row>
    <row r="1121" spans="1:11" ht="43.15">
      <c r="A1121" s="29">
        <f>_xlfn.AGGREGATE(3,1,$B$6:B1119)</f>
        <v>1112</v>
      </c>
      <c r="B1121" s="13" t="s">
        <v>1463</v>
      </c>
      <c r="C1121" s="32" t="s">
        <v>908</v>
      </c>
      <c r="D1121" s="30" t="s">
        <v>1471</v>
      </c>
      <c r="E1121" s="32" t="s">
        <v>38</v>
      </c>
      <c r="F1121" s="33">
        <v>46015</v>
      </c>
      <c r="G1121" s="32" t="s">
        <v>20</v>
      </c>
      <c r="H1121" s="33"/>
      <c r="I1121" s="32" t="s">
        <v>684</v>
      </c>
      <c r="J1121" s="32" t="s">
        <v>305</v>
      </c>
      <c r="K1121" s="30"/>
    </row>
    <row r="1122" spans="1:11" ht="115.15">
      <c r="A1122" s="29">
        <f>_xlfn.AGGREGATE(3,1,$B$6:B1120)</f>
        <v>1113</v>
      </c>
      <c r="B1122" s="13" t="s">
        <v>1463</v>
      </c>
      <c r="C1122" s="32" t="s">
        <v>104</v>
      </c>
      <c r="D1122" s="30" t="s">
        <v>1472</v>
      </c>
      <c r="E1122" s="32" t="s">
        <v>42</v>
      </c>
      <c r="F1122" s="33">
        <v>46015</v>
      </c>
      <c r="G1122" s="32" t="s">
        <v>16</v>
      </c>
      <c r="H1122" s="33"/>
      <c r="I1122" s="32" t="s">
        <v>304</v>
      </c>
      <c r="J1122" s="32" t="s">
        <v>305</v>
      </c>
      <c r="K1122" s="30"/>
    </row>
    <row r="1123" spans="1:11" ht="28.9">
      <c r="A1123" s="29">
        <f>_xlfn.AGGREGATE(3,1,$B$6:B1121)</f>
        <v>1114</v>
      </c>
      <c r="B1123" s="13" t="s">
        <v>1473</v>
      </c>
      <c r="C1123" s="32" t="s">
        <v>965</v>
      </c>
      <c r="D1123" s="30" t="s">
        <v>1474</v>
      </c>
      <c r="E1123" s="32" t="s">
        <v>1272</v>
      </c>
      <c r="F1123" s="33">
        <v>46015</v>
      </c>
      <c r="G1123" s="32" t="s">
        <v>20</v>
      </c>
      <c r="H1123" s="33"/>
      <c r="I1123" s="32" t="s">
        <v>684</v>
      </c>
      <c r="J1123" s="32" t="s">
        <v>305</v>
      </c>
      <c r="K1123" s="30"/>
    </row>
    <row r="1124" spans="1:11" ht="28.9">
      <c r="A1124" s="12">
        <f>_xlfn.AGGREGATE(3,1,$B$6:B1122)</f>
        <v>1115</v>
      </c>
      <c r="B1124" s="13" t="s">
        <v>1473</v>
      </c>
      <c r="C1124" s="13" t="s">
        <v>1475</v>
      </c>
      <c r="D1124" s="16" t="s">
        <v>1476</v>
      </c>
      <c r="E1124" s="32" t="s">
        <v>1272</v>
      </c>
      <c r="F1124" s="33">
        <v>46015</v>
      </c>
      <c r="G1124" s="32" t="s">
        <v>20</v>
      </c>
      <c r="H1124" s="26"/>
      <c r="I1124" s="32" t="s">
        <v>684</v>
      </c>
      <c r="J1124" s="32" t="s">
        <v>305</v>
      </c>
      <c r="K1124" s="16"/>
    </row>
    <row r="1125" spans="1:11" ht="28.9">
      <c r="A1125" s="29">
        <f>_xlfn.AGGREGATE(3,1,$B$6:B1123)</f>
        <v>1116</v>
      </c>
      <c r="B1125" s="13" t="s">
        <v>1473</v>
      </c>
      <c r="C1125" s="32" t="s">
        <v>1213</v>
      </c>
      <c r="D1125" s="30" t="s">
        <v>1477</v>
      </c>
      <c r="E1125" s="32" t="s">
        <v>1225</v>
      </c>
      <c r="F1125" s="33">
        <v>46015</v>
      </c>
      <c r="G1125" s="32" t="s">
        <v>20</v>
      </c>
      <c r="H1125" s="33"/>
      <c r="I1125" s="32" t="s">
        <v>684</v>
      </c>
      <c r="J1125" s="32" t="s">
        <v>305</v>
      </c>
      <c r="K1125" s="30"/>
    </row>
    <row r="1126" spans="1:11" ht="28.9">
      <c r="A1126" s="29">
        <f>_xlfn.AGGREGATE(3,1,$B$6:B1124)</f>
        <v>1117</v>
      </c>
      <c r="B1126" s="13" t="s">
        <v>1473</v>
      </c>
      <c r="C1126" s="32" t="s">
        <v>1400</v>
      </c>
      <c r="D1126" s="30" t="s">
        <v>1267</v>
      </c>
      <c r="E1126" s="32" t="s">
        <v>1225</v>
      </c>
      <c r="F1126" s="33">
        <v>46015</v>
      </c>
      <c r="G1126" s="32" t="s">
        <v>16</v>
      </c>
      <c r="H1126" s="33"/>
      <c r="I1126" s="32" t="s">
        <v>304</v>
      </c>
      <c r="J1126" s="32" t="s">
        <v>305</v>
      </c>
      <c r="K1126" s="30"/>
    </row>
    <row r="1127" spans="1:11" ht="28.9">
      <c r="A1127" s="29">
        <f>_xlfn.AGGREGATE(3,1,$B$6:B1125)</f>
        <v>1118</v>
      </c>
      <c r="B1127" s="13" t="s">
        <v>1473</v>
      </c>
      <c r="C1127" s="32" t="s">
        <v>1299</v>
      </c>
      <c r="D1127" s="30" t="s">
        <v>1478</v>
      </c>
      <c r="E1127" s="32" t="s">
        <v>1225</v>
      </c>
      <c r="F1127" s="33">
        <v>46015</v>
      </c>
      <c r="G1127" s="32" t="s">
        <v>16</v>
      </c>
      <c r="H1127" s="33"/>
      <c r="I1127" s="32" t="s">
        <v>684</v>
      </c>
      <c r="J1127" s="32" t="s">
        <v>305</v>
      </c>
      <c r="K1127" s="30"/>
    </row>
    <row r="1128" spans="1:11" ht="28.9">
      <c r="A1128" s="29">
        <f>_xlfn.AGGREGATE(3,1,$B$6:B1126)</f>
        <v>1119</v>
      </c>
      <c r="B1128" s="13" t="s">
        <v>1473</v>
      </c>
      <c r="C1128" s="32" t="s">
        <v>47</v>
      </c>
      <c r="D1128" s="30" t="s">
        <v>1479</v>
      </c>
      <c r="E1128" s="32" t="s">
        <v>1480</v>
      </c>
      <c r="F1128" s="33">
        <v>46015</v>
      </c>
      <c r="G1128" s="32" t="s">
        <v>77</v>
      </c>
      <c r="H1128" s="33"/>
      <c r="I1128" s="32" t="s">
        <v>684</v>
      </c>
      <c r="J1128" s="32" t="s">
        <v>305</v>
      </c>
      <c r="K1128" s="30"/>
    </row>
    <row r="1129" spans="1:11">
      <c r="A1129" s="29">
        <f>_xlfn.AGGREGATE(3,1,$B$6:B1127)</f>
        <v>1120</v>
      </c>
      <c r="B1129" s="32"/>
      <c r="C1129" s="32"/>
      <c r="D1129" s="30"/>
      <c r="E1129" s="32"/>
      <c r="F1129" s="33"/>
      <c r="G1129" s="32"/>
      <c r="H1129" s="33"/>
      <c r="I1129" s="32"/>
      <c r="J1129" s="32"/>
      <c r="K1129" s="30"/>
    </row>
    <row r="1130" spans="1:11">
      <c r="A1130" s="29">
        <f>_xlfn.AGGREGATE(3,1,$B$6:B1128)</f>
        <v>1121</v>
      </c>
      <c r="B1130" s="32"/>
      <c r="C1130" s="32"/>
      <c r="D1130" s="30"/>
      <c r="E1130" s="32"/>
      <c r="F1130" s="33"/>
      <c r="G1130" s="32"/>
      <c r="H1130" s="33"/>
      <c r="I1130" s="32"/>
      <c r="J1130" s="32"/>
      <c r="K1130" s="30"/>
    </row>
    <row r="1131" spans="1:11">
      <c r="A1131" s="29" t="s">
        <v>1481</v>
      </c>
      <c r="B1131" s="30">
        <f>SUBTOTAL(103,Table2[Inspection No])</f>
        <v>1121</v>
      </c>
      <c r="C1131" s="30">
        <f>SUBTOTAL(103,Table2[Items])</f>
        <v>1121</v>
      </c>
      <c r="D1131" s="30">
        <f>SUBTOTAL(103,Table2[Description])</f>
        <v>1121</v>
      </c>
      <c r="E1131" s="30">
        <f>SUBTOTAL(103,Table2[Locations])</f>
        <v>1121</v>
      </c>
      <c r="F1131" s="30">
        <f>SUBTOTAL(103,Table2[Inspection Date])</f>
        <v>1121</v>
      </c>
      <c r="G1131" s="30">
        <f>SUBTOTAL(103,Table2[[Risk Level ]])</f>
        <v>1103</v>
      </c>
      <c r="H1131" s="30">
        <f>SUBTOTAL(103,Table2[Due Date])</f>
        <v>30</v>
      </c>
      <c r="I1131" s="30">
        <f>SUBTOTAL(103,Table2[Action By])</f>
        <v>1120</v>
      </c>
      <c r="J1131" s="30">
        <f>SUBTOTAL(103,Table2[Status])</f>
        <v>1121</v>
      </c>
      <c r="K1131" s="30">
        <f>SUBTOTAL(103,Table2[Remarks])</f>
        <v>236</v>
      </c>
    </row>
  </sheetData>
  <mergeCells count="1">
    <mergeCell ref="A4:K4"/>
  </mergeCells>
  <phoneticPr fontId="3" type="noConversion"/>
  <conditionalFormatting sqref="G6:G1130">
    <cfRule type="cellIs" dxfId="28" priority="3" operator="equal">
      <formula>"H"</formula>
    </cfRule>
  </conditionalFormatting>
  <conditionalFormatting sqref="J6:J1130">
    <cfRule type="cellIs" dxfId="27" priority="1" operator="equal">
      <formula>"Partially Closed"</formula>
    </cfRule>
    <cfRule type="cellIs" dxfId="26" priority="2" operator="equal">
      <formula>"Closed"</formula>
    </cfRule>
    <cfRule type="expression" dxfId="25" priority="4" stopIfTrue="1">
      <formula>AND($H6&lt;TODAY(),$J6="Open")</formula>
    </cfRule>
    <cfRule type="expression" dxfId="24" priority="5">
      <formula>AND($H6&gt;=TODAY(),$J6="Open")</formula>
    </cfRule>
  </conditionalFormatting>
  <dataValidations count="3">
    <dataValidation type="list" allowBlank="1" showInputMessage="1" showErrorMessage="1" sqref="I6:I153 I155:I167 I199" xr:uid="{F919D8D7-CEDE-41F1-9020-BD091E62EAC3}">
      <formula1>"Logistics, Maintenance, HSE"</formula1>
    </dataValidation>
    <dataValidation type="list" allowBlank="1" showInputMessage="1" showErrorMessage="1" sqref="I154" xr:uid="{24024687-990B-4533-8AD8-3FC70EBCEC3C}">
      <formula1>"Logistics, Maintenance, HSE, HR"</formula1>
    </dataValidation>
    <dataValidation type="list" allowBlank="1" showInputMessage="1" showErrorMessage="1" sqref="J6:J1130" xr:uid="{176A9F7D-1597-4FC7-A951-4E2809426F7B}">
      <formula1>"Open, Closed, Partially Closed"</formula1>
    </dataValidation>
  </dataValidations>
  <printOptions horizontalCentered="1"/>
  <pageMargins left="0.25" right="0.25" top="0.5" bottom="0.25" header="0.3" footer="0.3"/>
  <pageSetup paperSize="8" fitToHeight="0" orientation="landscape" verticalDpi="4294967295"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9DAAB-93F4-4CCF-8DFD-953B327609E4}">
  <dimension ref="A1"/>
  <sheetViews>
    <sheetView workbookViewId="0">
      <selection activeCell="G28" sqref="G28"/>
    </sheetView>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e6f7386-8def-49e3-86e8-d127394e49ef" xsi:nil="true"/>
    <lcf76f155ced4ddcb4097134ff3c332f xmlns="5c22eb0e-7c56-488c-8021-f17ac1fbe7d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BD4B5669ABD4041913DA7B36A304473" ma:contentTypeVersion="12" ma:contentTypeDescription="Create a new document." ma:contentTypeScope="" ma:versionID="271473c465408f3b8e14b63e79c80840">
  <xsd:schema xmlns:xsd="http://www.w3.org/2001/XMLSchema" xmlns:xs="http://www.w3.org/2001/XMLSchema" xmlns:p="http://schemas.microsoft.com/office/2006/metadata/properties" xmlns:ns2="5c22eb0e-7c56-488c-8021-f17ac1fbe7d9" xmlns:ns3="ee6f7386-8def-49e3-86e8-d127394e49ef" targetNamespace="http://schemas.microsoft.com/office/2006/metadata/properties" ma:root="true" ma:fieldsID="94a4f310eeb44bc38c3984cccc21e8df" ns2:_="" ns3:_="">
    <xsd:import namespace="5c22eb0e-7c56-488c-8021-f17ac1fbe7d9"/>
    <xsd:import namespace="ee6f7386-8def-49e3-86e8-d127394e49ef"/>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22eb0e-7c56-488c-8021-f17ac1fbe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33fdc2c-cba4-42cf-8f1e-6cb3e5ee8cd7"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6f7386-8def-49e3-86e8-d127394e49ef"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9f5b7fa-9cae-4056-ba8d-3f266d2ab957}" ma:internalName="TaxCatchAll" ma:showField="CatchAllData" ma:web="ee6f7386-8def-49e3-86e8-d127394e49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5151A7-96CD-4FCE-B91B-6F952ED4C57C}"/>
</file>

<file path=customXml/itemProps2.xml><?xml version="1.0" encoding="utf-8"?>
<ds:datastoreItem xmlns:ds="http://schemas.openxmlformats.org/officeDocument/2006/customXml" ds:itemID="{E5F62B14-30E3-41FE-B452-C8A695B64A77}"/>
</file>

<file path=customXml/itemProps3.xml><?xml version="1.0" encoding="utf-8"?>
<ds:datastoreItem xmlns:ds="http://schemas.openxmlformats.org/officeDocument/2006/customXml" ds:itemID="{30FB9A7F-2DD5-4F20-A413-7DED8017F74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Cloud HSE</dc:creator>
  <cp:keywords/>
  <dc:description/>
  <cp:lastModifiedBy>Operation Zone1</cp:lastModifiedBy>
  <cp:revision/>
  <dcterms:created xsi:type="dcterms:W3CDTF">2021-12-08T05:23:44Z</dcterms:created>
  <dcterms:modified xsi:type="dcterms:W3CDTF">2026-01-04T06:41:44Z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0x010100DBD4B5669ABD4041913DA7B36A304473</vt:lpwstr>
  </property>
  <property fmtid="{D5CDD505-2E9C-101B-9397-08002B2CF9AE}" pid="3" name="MediaServiceImageTags">
    <vt:lpwstr/>
  </property>
</Properties>
</file>